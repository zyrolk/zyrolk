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Orders" sheetId="2" r:id="rId6"/>
    <sheet state="visible" name="Customers" sheetId="3" r:id="rId7"/>
    <sheet state="visible" name="Search" sheetId="4" r:id="rId8"/>
    <sheet state="visible" name="Dashboard" sheetId="5" r:id="rId9"/>
  </sheets>
  <definedNames>
    <definedName hidden="1" localSheetId="0" name="_xlnm._FilterDatabase">Products!$A$1:$U$1</definedName>
  </definedNames>
  <calcPr/>
</workbook>
</file>

<file path=xl/sharedStrings.xml><?xml version="1.0" encoding="utf-8"?>
<sst xmlns="http://schemas.openxmlformats.org/spreadsheetml/2006/main" count="1012" uniqueCount="822">
  <si>
    <t>Product Code</t>
  </si>
  <si>
    <t>Product Name</t>
  </si>
  <si>
    <t>Category</t>
  </si>
  <si>
    <t>Description</t>
  </si>
  <si>
    <t>Cost Price</t>
  </si>
  <si>
    <t>Market Price</t>
  </si>
  <si>
    <t>Selling Price</t>
  </si>
  <si>
    <t>Profit</t>
  </si>
  <si>
    <t>Stock Qty</t>
  </si>
  <si>
    <t>Delivery Fee</t>
  </si>
  <si>
    <t>COD Available</t>
  </si>
  <si>
    <t>Photo 1</t>
  </si>
  <si>
    <t>Photo 2</t>
  </si>
  <si>
    <t>Photo 3</t>
  </si>
  <si>
    <t>photo 4</t>
  </si>
  <si>
    <t>photo 5</t>
  </si>
  <si>
    <t>Video Link</t>
  </si>
  <si>
    <t>Facebook Post Link</t>
  </si>
  <si>
    <t>Supplier</t>
  </si>
  <si>
    <t>Date Added</t>
  </si>
  <si>
    <t>Status</t>
  </si>
  <si>
    <t>P00093</t>
  </si>
  <si>
    <t>A9 Mini Wireless Camera</t>
  </si>
  <si>
    <t>Electronics</t>
  </si>
  <si>
    <t>Products_Images/P00093A9 Mini Wireless Camera.Photo 1.113408.jpg</t>
  </si>
  <si>
    <t>A2Z</t>
  </si>
  <si>
    <t>P08391</t>
  </si>
  <si>
    <t>S2 Mini WiFi Camera</t>
  </si>
  <si>
    <t>Products_Images/P08391S2 Mini WiFi Camera.Photo 1.170857.png</t>
  </si>
  <si>
    <t>Products_Images/P08391S2 Mini WiFi Camera.Photo 2.170857.jpg</t>
  </si>
  <si>
    <t>Products_Images/P08391S2 Mini WiFi Camera.Photo 3.170857.jpg</t>
  </si>
  <si>
    <t>Products_Images/P08391S2 Mini WiFi Camera.photo 4.170901.jpg</t>
  </si>
  <si>
    <t>Products_Images/P08391S2 Mini WiFi Camera.photo 5.170901.jpg</t>
  </si>
  <si>
    <t>P05995</t>
  </si>
  <si>
    <t>Pix-Link WiFi Smart Camera</t>
  </si>
  <si>
    <t>Products_Images/P05995Pix-Link WiFi Smart Camera.Photo 1.044429.jpg</t>
  </si>
  <si>
    <t>Products_Images/P05995Pix-Link WiFi Smart Camera.Photo 2.044429.jpg</t>
  </si>
  <si>
    <t>Products_Images/P05995Pix-Link WiFi Smart Camera.Photo 3.044429.jpg</t>
  </si>
  <si>
    <t>Products_Images/P05995Pix-Link WiFi Smart Camera.photo 4.044438.jpg</t>
  </si>
  <si>
    <t>P01832</t>
  </si>
  <si>
    <t>K9 Wireless Microphone</t>
  </si>
  <si>
    <t>Products_Images/P01832K9 Wireless Microphone.Photo 1.033246.jpg</t>
  </si>
  <si>
    <t>P06779</t>
  </si>
  <si>
    <t>K35 Dual Wireless Microphone</t>
  </si>
  <si>
    <t>Products_Images/P06779K35 Dual Wireless Microphone.Photo 1.055224.jpg</t>
  </si>
  <si>
    <t>Products_Images/P06779K35 Dual Wireless Microphone.Photo 2.055224.jpg</t>
  </si>
  <si>
    <t>Products_Images/P06779K35 Dual Wireless Microphone.Photo 3.055224.jpg</t>
  </si>
  <si>
    <t>Products_Images/P06779K35 Dual Wireless Microphone.photo 4.055227.jpg</t>
  </si>
  <si>
    <t>P08660</t>
  </si>
  <si>
    <t>REMAI PRO88 Wireless Earbud</t>
  </si>
  <si>
    <t>Products_Images/P08660REMAI PRO88 Wireless Earbud.Photo 1.174004.png</t>
  </si>
  <si>
    <t>P04115</t>
  </si>
  <si>
    <t>Y47 Cat Headset</t>
  </si>
  <si>
    <t>Products_Images/P04115Y47 Cat Headset.Photo 1.171757.jpg</t>
  </si>
  <si>
    <t>P01469</t>
  </si>
  <si>
    <t>T800 Ultra Smart Watch</t>
  </si>
  <si>
    <t>Products_Images/P01469T800 Ultra Smart Watch.Photo 1.133611.jpg</t>
  </si>
  <si>
    <t>P00260</t>
  </si>
  <si>
    <t>Projection Lamp (Star Light)</t>
  </si>
  <si>
    <t>Products_Images/P00260Projection Lamp (Star Light).Photo 1.085224.jpg</t>
  </si>
  <si>
    <t>Products_Images/P00260Projection Lamp (Star Light).Photo 2.085223.jpg</t>
  </si>
  <si>
    <t>Products_Images/P00260Projection Lamp (Star Light).Photo 3.085223.jpg</t>
  </si>
  <si>
    <t>Products_Images/P00260Projection Lamp (Star Light).photo 4.085227.jpg</t>
  </si>
  <si>
    <t>Products_Images/P00260Projection Lamp (Star Light).photo 5.085228.jpg</t>
  </si>
  <si>
    <t>P03400</t>
  </si>
  <si>
    <t>Bluetooth Electronic Weight Scale</t>
  </si>
  <si>
    <t>Products_Images/P03400Bluetooth Electronic Weight Scale.Photo 1.085805.jpg</t>
  </si>
  <si>
    <t>Products_Images/P03400Bluetooth Electronic Weight Scale.Photo 2.085805.jpg</t>
  </si>
  <si>
    <t>Products_Images/P03400Bluetooth Electronic Weight Scale.Photo 3.085805.jpg</t>
  </si>
  <si>
    <t>P04252</t>
  </si>
  <si>
    <t>Smart Wireless Doorbell</t>
  </si>
  <si>
    <t>P02543</t>
  </si>
  <si>
    <t>Inflatable Air Sofa With Foot Rest</t>
  </si>
  <si>
    <t>Home &amp; Living</t>
  </si>
  <si>
    <t>Products_Images/P02543Inflatable Air Sofa With Foot Rest.Photo 1.174343.jpg</t>
  </si>
  <si>
    <t>P05197</t>
  </si>
  <si>
    <t>Inflatable Car Air Mattress</t>
  </si>
  <si>
    <t>Car Accessories</t>
  </si>
  <si>
    <t>Products_Images/P05197Inflatable Car Air Mattress.Photo 1.174803.jpg</t>
  </si>
  <si>
    <t>P07633</t>
  </si>
  <si>
    <t>Jewelry Cleaning Machine</t>
  </si>
  <si>
    <t>Jewelry &amp; Accessories</t>
  </si>
  <si>
    <t>Products_Images/P07633Jewelry Cleaning Machine.Photo 1.175115.jpg</t>
  </si>
  <si>
    <t>P03951</t>
  </si>
  <si>
    <t>K-12 Colorful Karaoke Sound System</t>
  </si>
  <si>
    <t>Products_Images/P03951K-12 Colorful Karaoke Sound System.Photo 1.090637.jpg</t>
  </si>
  <si>
    <t>Products_Images/P03951K-12 Colorful Karaoke Sound System.Photo 2.090637.jpg</t>
  </si>
  <si>
    <t>Products_Images/P03951K-12 Colorful Karaoke Sound System.Photo 3.090637.jpg</t>
  </si>
  <si>
    <t>Products_Images/P03951K-12 Colorful Karaoke Sound System.photo 4.090639.jpg</t>
  </si>
  <si>
    <t>P06077</t>
  </si>
  <si>
    <t>KH-740 Fascial Gun Massager</t>
  </si>
  <si>
    <t>Fitness &amp; Health</t>
  </si>
  <si>
    <t>Products_Images/P06077KH-740 Fascial Gun Massager.Photo 1.175504.jpg</t>
  </si>
  <si>
    <t>P08035</t>
  </si>
  <si>
    <t>Modern Square Soap Dispenser</t>
  </si>
  <si>
    <t>Products_Images/P08035Modern Square Soap Dispenser.Photo 1.175712.jpg</t>
  </si>
  <si>
    <t>P01934</t>
  </si>
  <si>
    <t>Diamond Crystal Moon Shaped Rechargeable Table Lamp</t>
  </si>
  <si>
    <t>Products_Images/P01934Diamond Crystal Moon Shaped R_1979645513851130205.Photo 1.175901.jpg</t>
  </si>
  <si>
    <t>P00106</t>
  </si>
  <si>
    <t>Nima Electric Grinder</t>
  </si>
  <si>
    <t>Kitchen &amp; Dining</t>
  </si>
  <si>
    <t>Products_Images/P00106Nima Electric Grinder.Photo 1.180052.jpg</t>
  </si>
  <si>
    <t>P01933</t>
  </si>
  <si>
    <t>Diamond Crystal Rechargeable Table Lamp</t>
  </si>
  <si>
    <t>Products_Images/P01933Diamond Crystal Rechargeable Table Lamp.Photo 1.180224.jpg</t>
  </si>
  <si>
    <t>P04822</t>
  </si>
  <si>
    <t>Diamond Crystal Oval Shaped Rechargeable Table Lamp</t>
  </si>
  <si>
    <t>Products_Images/P04822Diamond Crystal Oval Shaped R_3741592320910708969.Photo 1.180438.jpg</t>
  </si>
  <si>
    <t>P07362</t>
  </si>
  <si>
    <t>Pen Laser Pointer</t>
  </si>
  <si>
    <t>Products_Images/P07362Pen Laser Pointer.Photo 1.180559.jpg</t>
  </si>
  <si>
    <t>P05944</t>
  </si>
  <si>
    <t>Plush Breathing Teddy Bear</t>
  </si>
  <si>
    <t>Toys &amp; Kids</t>
  </si>
  <si>
    <t>Products_Images/P05944Plush Breathing Teddy Bear.Photo 1.180724.jpg</t>
  </si>
  <si>
    <t>Products_Images/P05944Plush Breathing Teddy Bear.Photo 2.114034.jpg</t>
  </si>
  <si>
    <t>Products_Images/P05944Plush Breathing Teddy Bear.Photo 3.114034.jpg</t>
  </si>
  <si>
    <t>Products_Images/P05944Plush Breathing Teddy Bear.photo 4.114034.jpg</t>
  </si>
  <si>
    <t>P05676</t>
  </si>
  <si>
    <t>Portable Mini Foot Air Pump With Meter</t>
  </si>
  <si>
    <t>Products_Images/P05676Portable Mini Foot Air Pump With Meter.Photo 1.180917.jpg</t>
  </si>
  <si>
    <t>P04698</t>
  </si>
  <si>
    <t>Push Up Board</t>
  </si>
  <si>
    <t>Products_Images/P04698Push Up Board.Photo 1.181409.jpg</t>
  </si>
  <si>
    <t>P06002</t>
  </si>
  <si>
    <t>Selfie Stick With Fill Light &amp; Remote</t>
  </si>
  <si>
    <t>Products_Images/P06002Selfie Stick With Fill Light &amp; Remote.Photo 1.181927.jpg</t>
  </si>
  <si>
    <t>P03596</t>
  </si>
  <si>
    <t>Single Bed Foldable Mosquito Net - (L - 5ft , W - 6ft)</t>
  </si>
  <si>
    <t>Products_Images/P03596Single Bed Foldable Mosquito _6842759353846676944.Photo 1.182351.jpg</t>
  </si>
  <si>
    <t>P02671</t>
  </si>
  <si>
    <t>Slim &amp; Lift Vest</t>
  </si>
  <si>
    <t>Products_Images/P02671Slim &amp; Lift Vest.Photo 1.182547.jpg</t>
  </si>
  <si>
    <t>P00009</t>
  </si>
  <si>
    <t>Solar Sensor Light</t>
  </si>
  <si>
    <t>Products_Images/P00009Solar Sensor Light.Photo 1.182811.jpg</t>
  </si>
  <si>
    <t>P00004</t>
  </si>
  <si>
    <t>Solar Street Lamp</t>
  </si>
  <si>
    <t>Products_Images/P00004Solar Street Lamp.Photo 1.183416.jpg</t>
  </si>
  <si>
    <t>P08037</t>
  </si>
  <si>
    <t>Stationery Holder - MP</t>
  </si>
  <si>
    <t>Products_Images/P08037Stationery Holder - MP.Photo 1.183159.jpg</t>
  </si>
  <si>
    <t>P06931</t>
  </si>
  <si>
    <t>Stitch Plush Breathing Teddy</t>
  </si>
  <si>
    <t>Products_Images/P06931Stitch Plush Breathing Teddy.Photo 1.183358.jpg</t>
  </si>
  <si>
    <t>P08209</t>
  </si>
  <si>
    <t>Swan Shaped Crystal LED Lamp</t>
  </si>
  <si>
    <t>Products_Images/P08209Swan Shaped Crystal LED Lamp.Photo 1.183623.jpg</t>
  </si>
  <si>
    <t>P07022</t>
  </si>
  <si>
    <t>Transparent Hair Clipper - YX-999</t>
  </si>
  <si>
    <t>Beauty &amp; Personal Care</t>
  </si>
  <si>
    <t>Products_Images/P07022Transparent Hair Clipper - YX-999.Photo 1.183915.jpg</t>
  </si>
  <si>
    <t>P04532</t>
  </si>
  <si>
    <t>Ultrasonic Aroma Humidifier</t>
  </si>
  <si>
    <t>Products_Images/P04532Ultrasonic Aroma Humidifier.Photo 1.184041.jpg</t>
  </si>
  <si>
    <t>P00151</t>
  </si>
  <si>
    <t>USB Juicer</t>
  </si>
  <si>
    <t>Products_Images/P00151USB Juicer.Photo 1.184155.jpg</t>
  </si>
  <si>
    <t>Products_Images/P00151USB Juicer.Photo 2.052423.jpg</t>
  </si>
  <si>
    <t>Products_Images/P00151USB Juicer.Photo 3.052423.jpg</t>
  </si>
  <si>
    <t>Products_Images/P00151USB Juicer.photo 4.052423.jpg</t>
  </si>
  <si>
    <t>P00679</t>
  </si>
  <si>
    <t>Vaccum Flask Set</t>
  </si>
  <si>
    <t>Products_Images/P00679Vaccum Flask Set.Photo 1.184336.jpg</t>
  </si>
  <si>
    <t>P02549</t>
  </si>
  <si>
    <t>Electric Mini Waffle Maker</t>
  </si>
  <si>
    <t>Products_Images/P02549Electric Mini Waffle Maker.Photo 1.184522.jpg</t>
  </si>
  <si>
    <t>P02528</t>
  </si>
  <si>
    <t>Washing Machine Cover</t>
  </si>
  <si>
    <t>Products_Images/P02528Washing Machine Cover.Photo 1.184710.jpg</t>
  </si>
  <si>
    <t>P06267</t>
  </si>
  <si>
    <t>WaterProof Motor Bike Cover - 100x200</t>
  </si>
  <si>
    <t>Products_Images/P06267WaterProof Motor Bike Cover - 100x200.Photo 1.184848.jpg</t>
  </si>
  <si>
    <t>P06790</t>
  </si>
  <si>
    <t>Xiaomi Waterproof Usb Backpack</t>
  </si>
  <si>
    <t>Fashion &amp; Accessories</t>
  </si>
  <si>
    <t>Products_Images/P06790Xiaomi Waterproof Usb Backpack.Photo 1.185006.jpg</t>
  </si>
  <si>
    <t>P08048</t>
  </si>
  <si>
    <t>Xinchi Tools Adjustable Wrench 10 Inch</t>
  </si>
  <si>
    <t>Tools &amp; Hardware</t>
  </si>
  <si>
    <t>Products_Images/P08048Xinchi Tools Adjustable Wrench 10 Inch.Photo 1.185133.jpg</t>
  </si>
  <si>
    <t>P08049</t>
  </si>
  <si>
    <t>Xinchi Tools Adjustable Wrench 8 Inch</t>
  </si>
  <si>
    <t>Products_Images/P08049Xinchi Tools Adjustable Wrench 8 Inch.Photo 1.185302.jpg</t>
  </si>
  <si>
    <t>P03949</t>
  </si>
  <si>
    <t>Y1 Wireless Karaoke Speaker</t>
  </si>
  <si>
    <t>Products_Images/P03949Y1 Wireless Karaoke Speaker.Photo 1.185413.jpg</t>
  </si>
  <si>
    <t>Products_Images/P03949Y1 Wireless Karaoke Speaker.Photo 2.074344.jpg</t>
  </si>
  <si>
    <t>P03615</t>
  </si>
  <si>
    <t>10 Pcs Rainbow Nail Cutter Set</t>
  </si>
  <si>
    <t>Products_Images/P0361510 Pcs Rainbow Nail Cutter Set.Photo 1.185608.jpg</t>
  </si>
  <si>
    <t>Products_Images/P0361510 Pcs Rainbow Nail Cutter Set.Photo 2.062341.jpg</t>
  </si>
  <si>
    <t>P05933</t>
  </si>
  <si>
    <t>13 inch Tool Empty Box</t>
  </si>
  <si>
    <t>Products_Images/P0593313 inch Tool Empty Box.Photo 1.190158.jpg</t>
  </si>
  <si>
    <t>P06822</t>
  </si>
  <si>
    <t>16 Pcs Nail Cutter Set</t>
  </si>
  <si>
    <t>Products_Images/P0682216 Pcs Nail Cutter Set.Photo 1.190317.jpg</t>
  </si>
  <si>
    <t>P00810</t>
  </si>
  <si>
    <t>2 in 1 Electric Milk Frother</t>
  </si>
  <si>
    <t>Products_Images/P008102 in 1 Electric Milk Frother.Photo 1.190433.jpg</t>
  </si>
  <si>
    <t>P05984</t>
  </si>
  <si>
    <t>5 Led Rechargeable Headlamp</t>
  </si>
  <si>
    <t>Products_Images/P059845 Led Rechargeable Headlamp.Photo 1.190641.jpg</t>
  </si>
  <si>
    <t>P05895</t>
  </si>
  <si>
    <t>6 Led 2 Pcs Solar Wall Lamp - Up And Down</t>
  </si>
  <si>
    <t>Products_Images/P058956 Led 2 Pcs Solar Wall Lamp -_14674997128796848569.Photo 1.190834.jpg</t>
  </si>
  <si>
    <t>P04021</t>
  </si>
  <si>
    <t>6 Pcs Screwdriver Set</t>
  </si>
  <si>
    <t>Products_Images/P040216 Pcs Screwdriver Set.Photo 1.190953.jpg</t>
  </si>
  <si>
    <t>P06350</t>
  </si>
  <si>
    <t>8 In 1 Faucet &amp; Sink Installer</t>
  </si>
  <si>
    <t>Products_Images/P063508 In 1 Faucet &amp; Sink Installer.Photo 1.191158.jpg</t>
  </si>
  <si>
    <t>P00305</t>
  </si>
  <si>
    <t>Allon Key</t>
  </si>
  <si>
    <t>Products_Images/P00305Allon Key.Photo 1.191322.jpg</t>
  </si>
  <si>
    <t>P01982</t>
  </si>
  <si>
    <t>Nail Trimmer (Baby)</t>
  </si>
  <si>
    <t>Products_Images/P01982Nail Trimmer (Baby).Photo 1.191536.jpg</t>
  </si>
  <si>
    <t>Products_Images/P01982Nail Trimmer (Baby).Photo 2.084400.jpg</t>
  </si>
  <si>
    <t>Products_Images/P01982Nail Trimmer (Baby).Photo 3.084400.jpg</t>
  </si>
  <si>
    <t>P01962</t>
  </si>
  <si>
    <t>Felly Canvas Korean Backpack</t>
  </si>
  <si>
    <t>Products_Images/P01962Felly Canvas Korean Backpack.Photo 1.191704.jpg</t>
  </si>
  <si>
    <t>P00135</t>
  </si>
  <si>
    <t>Laser Pointer 303</t>
  </si>
  <si>
    <t>Products_Images/P00135Laser Pointer 303.Photo 1.191840.jpg</t>
  </si>
  <si>
    <t>Products_Images/P00135Laser Pointer 303.Photo 2.093121.jpg</t>
  </si>
  <si>
    <t>P02620</t>
  </si>
  <si>
    <t>Hanging Luggage Scale</t>
  </si>
  <si>
    <t>Travel &amp; Accessories</t>
  </si>
  <si>
    <t>Products_Images/P02620Hanging Luggage Scale.Photo 1.192126.jpg</t>
  </si>
  <si>
    <t>P06351</t>
  </si>
  <si>
    <t>Heavy Duty Staple Gun</t>
  </si>
  <si>
    <t>Products_Images/P06351Heavy Duty Staple Gun.Photo 1.192328.jpg</t>
  </si>
  <si>
    <t>P08432</t>
  </si>
  <si>
    <t>High Power Solar Led Street Light - IP66</t>
  </si>
  <si>
    <t>Products_Images/P08432High Power Solar Led Street L_5703818820270743096.Photo 1.192442.jpg</t>
  </si>
  <si>
    <t>P06898</t>
  </si>
  <si>
    <t>Kids Eva Rain Coat</t>
  </si>
  <si>
    <t>Kids &amp; Baby</t>
  </si>
  <si>
    <t>Products_Images/P06898Kids Eva Rain Coat.Photo 1.192616.jpg</t>
  </si>
  <si>
    <t>P00464</t>
  </si>
  <si>
    <t>Led Mirror Clock</t>
  </si>
  <si>
    <t>Products_Images/P00464Led Mirror Clock.Photo 1.192727.jpg</t>
  </si>
  <si>
    <t>P08320</t>
  </si>
  <si>
    <t>Level Pro 3 Laser Level Tool</t>
  </si>
  <si>
    <t>Products_Images/P08320Level Pro 3 Laser Level Tool.Photo 1.192941.jpg</t>
  </si>
  <si>
    <t>P03875</t>
  </si>
  <si>
    <t>Telescopic Duster</t>
  </si>
  <si>
    <t>Products_Images/P03875Telescopic Duster.Photo 1.193106.jpg</t>
  </si>
  <si>
    <t>P00455</t>
  </si>
  <si>
    <t>Luggage Scale</t>
  </si>
  <si>
    <t>Products_Images/P00455Luggage Scale.Photo 1.193212.jpg</t>
  </si>
  <si>
    <t>P05985</t>
  </si>
  <si>
    <t>Luxury Wall Mounted Soap Box</t>
  </si>
  <si>
    <t>Products_Images/P05985Luxury Wall Mounted Soap Box.Photo 1.193355.jpg</t>
  </si>
  <si>
    <t>P00840</t>
  </si>
  <si>
    <t>Massage Gun</t>
  </si>
  <si>
    <t>Products_Images/P00840Massage Gun.Photo 1.193550.jpg</t>
  </si>
  <si>
    <t>P00007</t>
  </si>
  <si>
    <t>Mini Torch</t>
  </si>
  <si>
    <t>Products_Images/P00007Mini Torch.Photo 1.193739.jpg</t>
  </si>
  <si>
    <t>Products_Images/P00007Mini Torch.Photo 2.112204.jpg</t>
  </si>
  <si>
    <t>Products_Images/P00007Mini Torch.Photo 3.112204.jpg</t>
  </si>
  <si>
    <t>Products_Images/P00007Mini Torch.photo 4.112204.jpg</t>
  </si>
  <si>
    <t>P00547</t>
  </si>
  <si>
    <t>Personal Scale</t>
  </si>
  <si>
    <t>Products_Images/P00547Personal Scale.Photo 1.193849.jpg</t>
  </si>
  <si>
    <t>P00111</t>
  </si>
  <si>
    <t>Portable Mini Flashlight Q5+COB Led Head Lamp</t>
  </si>
  <si>
    <t>Products_Images/P00111Portable Mini Flashlight Q5+C_15740732991932279554.Photo 1.194008.jpg</t>
  </si>
  <si>
    <t>P08034</t>
  </si>
  <si>
    <t>Portable Solar Work Light</t>
  </si>
  <si>
    <t>Products_Images/P08034Portable Solar Work Light.Photo 1.194220.jpg</t>
  </si>
  <si>
    <t>P04336</t>
  </si>
  <si>
    <t>Round Shape Water Mat</t>
  </si>
  <si>
    <t>Products_Images/P04336Round Shape Water Mat.Photo 1.194350.jpg</t>
  </si>
  <si>
    <t>P00473</t>
  </si>
  <si>
    <t>SF 400 Kitchen Scale</t>
  </si>
  <si>
    <t>Products_Images/P00473SF 400 Kitchen Scale.Photo 1.194502.jpg</t>
  </si>
  <si>
    <t>P07098</t>
  </si>
  <si>
    <t>Simulation Steering Wheel Toy</t>
  </si>
  <si>
    <t>Products_Images/P07098Simulation Steering Wheel Toy.Photo 1.194629.jpg</t>
  </si>
  <si>
    <t>P06775</t>
  </si>
  <si>
    <t>Sneakers Shoe Cleaner Kit</t>
  </si>
  <si>
    <t>Products_Images/P06775Sneakers Shoe Cleaner Kit.Photo 1.194743.jpg</t>
  </si>
  <si>
    <t>P04206</t>
  </si>
  <si>
    <t>Moisturizing Silicone Foot Socks</t>
  </si>
  <si>
    <t>Products_Images/P04206Moisturizing Silicone Foot Socks.Photo 1.194921.jpg</t>
  </si>
  <si>
    <t>P00800</t>
  </si>
  <si>
    <t>Speedy Chopper</t>
  </si>
  <si>
    <t>Products_Images/P00800Speedy Chopper.Photo 1.195045.jpg</t>
  </si>
  <si>
    <t>P02010</t>
  </si>
  <si>
    <t>Stainless Steel Temperature Bottle (500ml)</t>
  </si>
  <si>
    <t>Products_Images/P02010Stainless Steel Temperature B_4655424440761767012.Photo 1.195157.jpg</t>
  </si>
  <si>
    <t>P06971</t>
  </si>
  <si>
    <t>Stents Bike Phone Holder - Handle</t>
  </si>
  <si>
    <t>Automotive &amp; Accessories</t>
  </si>
  <si>
    <t>Products_Images/P06971Stents Bike Phone Holder - Handle.Photo 1.195259.jpg</t>
  </si>
  <si>
    <t>P02669</t>
  </si>
  <si>
    <t>Super Absorbent Floor Mat</t>
  </si>
  <si>
    <t>Products_Images/P02669Super Absorbent Floor Mat.Photo 1.195411.jpg</t>
  </si>
  <si>
    <t>P04733</t>
  </si>
  <si>
    <t>Super Absorbent Square Floor Mat</t>
  </si>
  <si>
    <t>Products_Images/P04733Super Absorbent Square Floor Mat.Photo 1.195526.jpg</t>
  </si>
  <si>
    <t>P02785</t>
  </si>
  <si>
    <t>Transparent Waterproof Adhesive Glue</t>
  </si>
  <si>
    <t>Products_Images/P02785Transparent Waterproof Adhesive Glue.Photo 1.195653.jpg</t>
  </si>
  <si>
    <t>P00357</t>
  </si>
  <si>
    <t>Water Play Mat</t>
  </si>
  <si>
    <t>Products_Images/P00357Water Play Mat.Photo 1.195754.jpg</t>
  </si>
  <si>
    <t>P08644</t>
  </si>
  <si>
    <t>REMAI PD33 10000mAh Power Bank</t>
  </si>
  <si>
    <t>Products_Images/P08644REMAI PD33 10000mAh Power Bank.Photo 1.195944.jpg</t>
  </si>
  <si>
    <t>Products_Images/P08644REMAI PD33 10000mAh Power Bank.Photo 2.172240.jpg</t>
  </si>
  <si>
    <t>Products_Images/P08644REMAI PD33 10000mAh Power Bank.Photo 3.172240.jpg</t>
  </si>
  <si>
    <t>Products_Images/P08644REMAI PD33 10000mAh Power Bank.photo 4.172240.jpg</t>
  </si>
  <si>
    <t>P08639</t>
  </si>
  <si>
    <t>2 Pcs Max Hand Grip Strengthener</t>
  </si>
  <si>
    <t>Products_Images/P086392 Pcs Max Hand Grip Strengthener.Photo 1.200125.jpg</t>
  </si>
  <si>
    <t>P05826</t>
  </si>
  <si>
    <t>Yonsa Electric Cooker - 18cm</t>
  </si>
  <si>
    <t>Products_Images/P05826Yonsa Electric Cooker - 18cm.Photo 1.200231.jpg</t>
  </si>
  <si>
    <t>P08607</t>
  </si>
  <si>
    <t>2 in 1 Soap Dispenser Box</t>
  </si>
  <si>
    <t>Products_Images/P086072 in 1 Soap Dispenser Box.Photo 1.200355.jpg</t>
  </si>
  <si>
    <t>Products_Images/P086072 in 1 Soap Dispenser Box.Photo 2.073316.jpg</t>
  </si>
  <si>
    <t>Products_Images/P086072 in 1 Soap Dispenser Box.Photo 3.073316.jpg</t>
  </si>
  <si>
    <t>Products_Files_/P086072 in 1 Soap Dispenser Box.Video Link.080238.mp4</t>
  </si>
  <si>
    <t>P08595</t>
  </si>
  <si>
    <t>2 Pcs Screwdriver Set</t>
  </si>
  <si>
    <t>Products_Images/P085952 Pcs Screwdriver Set.Photo 1.200516.jpg</t>
  </si>
  <si>
    <t>Products_Images/P085952 Pcs Screwdriver Set.Photo 2.083254.jpg</t>
  </si>
  <si>
    <t>Products_Images/P085952 Pcs Screwdriver Set.Photo 3.083254.jpg</t>
  </si>
  <si>
    <t>Products_Images/P085952 Pcs Screwdriver Set.photo 4.083254.jpg</t>
  </si>
  <si>
    <t>P08666</t>
  </si>
  <si>
    <t>2 Way 7 Layer Dustproof Shoe Rack</t>
  </si>
  <si>
    <t>Products_Images/P086662 Way 7 Layer Dustproof Shoe Rack.Photo 1.200629.jpg</t>
  </si>
  <si>
    <t>P04806</t>
  </si>
  <si>
    <t>20W USB-C Power Adapter</t>
  </si>
  <si>
    <t>Products_Images/P0480620W USB-C Power Adapter.Photo 1.200741.jpg</t>
  </si>
  <si>
    <t>P08627</t>
  </si>
  <si>
    <t>2 Pcs Fridge Storage Box</t>
  </si>
  <si>
    <t>Products_Images/P086272 Pcs Fridge Storage Box.Photo 1.014932.jpg</t>
  </si>
  <si>
    <t>P08659</t>
  </si>
  <si>
    <t>REMAX 38W FM Transmitter &amp; Car Charger</t>
  </si>
  <si>
    <t>Products_Images/P08659REMAX 38W FM Transmitter &amp; Car Charger.Photo 1.015144.jpg</t>
  </si>
  <si>
    <t>P08606</t>
  </si>
  <si>
    <t>4 Pcs Triangular Solar Step Light</t>
  </si>
  <si>
    <t>Products_Images/P086064 Pcs Triangular Solar Step Light.Photo 1.015251.jpg</t>
  </si>
  <si>
    <t>P08625</t>
  </si>
  <si>
    <t>Watch Box &amp; Sun Glasses Organizer</t>
  </si>
  <si>
    <t>Fashion &amp; Accessorie</t>
  </si>
  <si>
    <t>Products_Images/P08625Watch Box &amp; Sun Glasses Organizer.Photo 1.015425.jpg</t>
  </si>
  <si>
    <t>P08761</t>
  </si>
  <si>
    <t>9pcs Pedicure Set</t>
  </si>
  <si>
    <t>Products_Images/P087619pcs Pedicure Set.Photo 1.015537.jpg</t>
  </si>
  <si>
    <t>Products_Images/P087619pcs Pedicure Set.Photo 2.084621.jpg</t>
  </si>
  <si>
    <t>Products_Images/P087619pcs Pedicure Set.Photo 3.084621.jpg</t>
  </si>
  <si>
    <t>Products_Images/P087619pcs Pedicure Set.photo 4.084621.jpg</t>
  </si>
  <si>
    <t>P08664</t>
  </si>
  <si>
    <t>REMAI A519 Sport Edition Smartwatch</t>
  </si>
  <si>
    <t>Products_Images/P08664REMAI A519 Sport Edition Smartwatch.Photo 1.015652.jpg</t>
  </si>
  <si>
    <t>P08654</t>
  </si>
  <si>
    <t>REMAI AX-79 4-in-1 Fast Charging Cable</t>
  </si>
  <si>
    <t>Products_Images/P08654REMAI AX-79 4-in-1 Fast Charging Cable.Photo 1.015810.jpg</t>
  </si>
  <si>
    <t>P08645</t>
  </si>
  <si>
    <t>REMAI CW51 Universal Clip Bicycle Holder</t>
  </si>
  <si>
    <t>Products_Images/P08645REMAI CW51 Universal Clip Bic_11325309862918467826.Photo 1.015925.jpg</t>
  </si>
  <si>
    <t>Products_Images/P08645REMAI CW51 Universal Clip Bic_11325309862918467826.Photo 2.082939.jpg</t>
  </si>
  <si>
    <t>Products_Images/P08645REMAI CW51 Universal Clip Bic_11325309862918467826.Photo 3.082939.jpg</t>
  </si>
  <si>
    <t>Products_Images/P08645REMAI CW51 Universal Clip Bic_11325309862918467826.photo 4.082939.jpg</t>
  </si>
  <si>
    <t>P08655</t>
  </si>
  <si>
    <t>REMAI 120W 3 In 1 Quick Charging Cable - RX088</t>
  </si>
  <si>
    <t>Products_Images/P08655REMAI 120W 3 In 1 Quick Charg_7798255506547790366.Photo 1.020030.jpg</t>
  </si>
  <si>
    <t>P08658</t>
  </si>
  <si>
    <t>REMAX C7 40W Super Fast Car Charger</t>
  </si>
  <si>
    <t>Products_Images/P08658REMAX C7 40W Super Fast Car Charger.Photo 1.020212.jpg</t>
  </si>
  <si>
    <t>Products_Images/P08658REMAX C7 40W Super Fast Car Charger.Photo 2.081223.jpg</t>
  </si>
  <si>
    <t>Products_Images/P08658REMAX C7 40W Super Fast Car Charger.Photo 3.081223.jpg</t>
  </si>
  <si>
    <t>Products_Images/P08658REMAX C7 40W Super Fast Car Charger.photo 4.081223.jpg</t>
  </si>
  <si>
    <t>P08602</t>
  </si>
  <si>
    <t>Display Counter Hand Grip</t>
  </si>
  <si>
    <t>Products_Images/P08602Display Counter Hand Grip.Photo 1.020335.jpg</t>
  </si>
  <si>
    <t>P08667</t>
  </si>
  <si>
    <t>Digital Color Screen Calendar</t>
  </si>
  <si>
    <t>Products_Images/P08667Digital Color Screen Calendar.Photo 1.020447.jpg</t>
  </si>
  <si>
    <t>P08601</t>
  </si>
  <si>
    <t>Double Mini Waffle Maker</t>
  </si>
  <si>
    <t>Products_Images/P08601Double Mini Waffle Maker.Photo 1.020551.jpg</t>
  </si>
  <si>
    <t>P08608</t>
  </si>
  <si>
    <t>Cycling Half Gloves - 1 Pair</t>
  </si>
  <si>
    <t>Sports &amp; Outdoor</t>
  </si>
  <si>
    <t>Products_Images/P08608Cycling Half Gloves - 1 Pair.Photo 1.020651.jpg</t>
  </si>
  <si>
    <t>Products_Images/P08608Cycling Half Gloves - 1 Pair.Photo 2.082019.jpg</t>
  </si>
  <si>
    <t>Products_Images/P08608Cycling Half Gloves - 1 Pair.Photo 3.082019.jpg</t>
  </si>
  <si>
    <t>Products_Images/P08608Cycling Half Gloves - 1 Pair.photo 4.082019.jpg</t>
  </si>
  <si>
    <t>P08636</t>
  </si>
  <si>
    <t>Hanging Knife Holder</t>
  </si>
  <si>
    <t>Products_Images/P08636Hanging Knife Holder.Photo 1.020801.jpg</t>
  </si>
  <si>
    <t>Products_Images/P08636Hanging Knife Holder.Photo 2.081454.jpg</t>
  </si>
  <si>
    <t>Products_Images/P08636Hanging Knife Holder.Photo 3.081454.jpg</t>
  </si>
  <si>
    <t>P08624</t>
  </si>
  <si>
    <t>K15 3 in 1 Dual Wireless Microphone</t>
  </si>
  <si>
    <t>Products_Images/P08624K15 3 in 1 Dual Wireless Microphone.Photo 1.020933.jpg</t>
  </si>
  <si>
    <t>P08600</t>
  </si>
  <si>
    <t>12 in 1 Vegetable Slicer &amp; Drain Basket</t>
  </si>
  <si>
    <t>Products_Images/P0860012 in 1 Vegetable Slicer &amp; Drain Basket.Photo 1.021047.jpg</t>
  </si>
  <si>
    <t>Products_Images/P0860012 in 1 Vegetable Slicer &amp; Drain Basket.Photo 2.084743.jpg</t>
  </si>
  <si>
    <t>Products_Images/P0860012 in 1 Vegetable Slicer &amp; Drain Basket.Photo 3.084743.jpg</t>
  </si>
  <si>
    <t>Products_Files_/P0860012 in 1 Vegetable Slicer &amp; Drain Basket.Video Link.084743.mp4</t>
  </si>
  <si>
    <t>P08629</t>
  </si>
  <si>
    <t>Wall-Mounted Multi-Functional Storage Box &amp; Phone Holder</t>
  </si>
  <si>
    <t>Products_Images/P08629Wall-Mounted Multi-Functional_6330405954653257826.Photo 1.021206.jpg</t>
  </si>
  <si>
    <t>P08598</t>
  </si>
  <si>
    <t>Travel Document Holder</t>
  </si>
  <si>
    <t>Products_Images/P08598Travel Document Holder.Photo 1.021308.jpg</t>
  </si>
  <si>
    <t>P08623</t>
  </si>
  <si>
    <t>8 Inch Rechargable Portable Fan</t>
  </si>
  <si>
    <t>Products_Images/P086238 Inch Rechargable Portable Fan.Photo 1.021429.jpg</t>
  </si>
  <si>
    <t>P08651</t>
  </si>
  <si>
    <t>XLAURI XP03 Micro Fast Charger Cable</t>
  </si>
  <si>
    <t>Products_Images/P08651XLAURI XP03 Micro Fast Charger Cable.Photo 1.021552.jpg</t>
  </si>
  <si>
    <t>Products_Images/P08651XLAURI XP03 Micro Fast Charger Cable.Photo 2.081627.jpg</t>
  </si>
  <si>
    <t>Products_Images/P08651XLAURI XP03 Micro Fast Charger Cable.Photo 3.081627.jpg</t>
  </si>
  <si>
    <t>Products_Images/P08651XLAURI XP03 Micro Fast Charger Cable.photo 4.081627.jpg</t>
  </si>
  <si>
    <t>P06399</t>
  </si>
  <si>
    <t>Remax AS10 Ultra Smart Watch</t>
  </si>
  <si>
    <t>Products_Images/P06399Remax AS10 Ultra Smart Watch.Photo 1.021653.jpg</t>
  </si>
  <si>
    <t>P08652</t>
  </si>
  <si>
    <t>REMAI RX091 USB Fast Charger Cable</t>
  </si>
  <si>
    <t>Products_Images/P08652REMAI RX091 USB Fast Charger Cable.Photo 1.021803.jpg</t>
  </si>
  <si>
    <t>Products_Images/P08652REMAI RX091 USB Fast Charger Cable.Photo 2.081916.jpg</t>
  </si>
  <si>
    <t>Products_Images/P08652REMAI RX091 USB Fast Charger Cable.Photo 3.081916.jpg</t>
  </si>
  <si>
    <t>Products_Images/P08652REMAI RX091 USB Fast Charger Cable.photo 4.081916.jpg</t>
  </si>
  <si>
    <t>P08653</t>
  </si>
  <si>
    <t>REMAI RX116 Type-C Fast Charger Cable Electronics</t>
  </si>
  <si>
    <t>Products_Images/P08653REMAI RX116 Type-C Fast Charg_11366383092940406837.Photo 1.021906.jpg</t>
  </si>
  <si>
    <t>P08622</t>
  </si>
  <si>
    <t>Rechargeable Desk Lamp &amp; Digital Clock Model H-33</t>
  </si>
  <si>
    <t>Products_Images/P08622Rechargeable Desk Lamp &amp; Digi_15314749412194101831.Photo 1.022020.jpg</t>
  </si>
  <si>
    <t>Products_Images/P08622Rechargeable Desk Lamp &amp; Digi_15314749412194101831.Photo 2.085400.jpg</t>
  </si>
  <si>
    <t>Products_Images/P08622Rechargeable Desk Lamp &amp; Digi_15314749412194101831.Photo 3.085400.jpg</t>
  </si>
  <si>
    <t>Products_Images/P08622Rechargeable Desk Lamp &amp; Digi_15314749412194101831.photo 4.085400.jpg</t>
  </si>
  <si>
    <t>P08599</t>
  </si>
  <si>
    <t>Electric Egg Beater &amp; Rice Washer</t>
  </si>
  <si>
    <t>Products_Images/P08599Electric Egg Beater &amp; Rice Washer.Photo 1.022126.jpg</t>
  </si>
  <si>
    <t>Products_Images/P08599Electric Egg Beater &amp; Rice Washer.Photo 2.084904.jpg</t>
  </si>
  <si>
    <t>Products_Images/P08599Electric Egg Beater &amp; Rice Washer.Photo 3.084904.jpg</t>
  </si>
  <si>
    <t>Products_Images/P08599Electric Egg Beater &amp; Rice Washer.photo 4.084904.jpg</t>
  </si>
  <si>
    <t>Products_Files_/P08599Electric Egg Beater &amp; Rice Washer.Video Link.084943.mp4</t>
  </si>
  <si>
    <t>P08661</t>
  </si>
  <si>
    <t>REMAX 7 in 1 Smartwatch &amp; Earbuds Set</t>
  </si>
  <si>
    <t>Products_Images/P08661REMAX 7 in 1 Smartwatch &amp; Earbuds Set.Photo 1.022234.jpg</t>
  </si>
  <si>
    <t>P08662</t>
  </si>
  <si>
    <t>REMAX Smart Watch &amp; Earbud Set - RM80</t>
  </si>
  <si>
    <t>Products_Images/P08662REMAX Smart Watch &amp; Earbud Set - RM80.Photo 1.022336.jpg</t>
  </si>
  <si>
    <t>Products_Images/P08662REMAX Smart Watch &amp; Earbud Set - RM80.Photo 2.080821.jpg</t>
  </si>
  <si>
    <t>Products_Images/P08662REMAX Smart Watch &amp; Earbud Set - RM80.Photo 3.080821.jpg</t>
  </si>
  <si>
    <t>Products_Images/P08662REMAX Smart Watch &amp; Earbud Set - RM80.Video Link.080821.jpg</t>
  </si>
  <si>
    <t>P08665</t>
  </si>
  <si>
    <t>REMAI RM22 Smart Watch &amp; Earphones Combo Set</t>
  </si>
  <si>
    <t>Products_Images/P08665REMAI RM22 Smart Watch &amp; Earp_3577010709601960856.Photo 1.022500.jpg</t>
  </si>
  <si>
    <t>P08630</t>
  </si>
  <si>
    <t>Extendable Wall-Mounted Storage Holder</t>
  </si>
  <si>
    <t>Products_Images/P08630Extendable Wall-Mounted Storage Holder.Photo 1.022639.jpg</t>
  </si>
  <si>
    <t>P08603</t>
  </si>
  <si>
    <t>Chillmax Cooling Neck Ring</t>
  </si>
  <si>
    <t>Products_Images/P08603Chillmax Cooling Neck Ring.Photo 1.022746.jpg</t>
  </si>
  <si>
    <t>Products_Images/P08603Chillmax Cooling Neck Ring.Photo 2.083449.jpg</t>
  </si>
  <si>
    <t>Products_Images/P08603Chillmax Cooling Neck Ring.Photo 3.083449.jpg</t>
  </si>
  <si>
    <t>Products_Images/P08603Chillmax Cooling Neck Ring.photo 4.083449.jpg</t>
  </si>
  <si>
    <t>P08604</t>
  </si>
  <si>
    <t>4 Pcs Silicone Travel Split Bottle Set</t>
  </si>
  <si>
    <t>Products_Images/P086044 Pcs Silicone Travel Split Bottle Set.Photo 1.022937.jpg</t>
  </si>
  <si>
    <t>P08634</t>
  </si>
  <si>
    <t>Toilet Paper Holder With Storage Shelf</t>
  </si>
  <si>
    <t>Products_Images/P08634Toilet Paper Holder With Storage Shelf.Photo 1.023048.jpg</t>
  </si>
  <si>
    <t>Products_Images/P08634Toilet Paper Holder With Storage Shelf.Photo 2.082120.jpg</t>
  </si>
  <si>
    <t>Products_Images/P08634Toilet Paper Holder With Storage Shelf.Photo 3.082120.jpg</t>
  </si>
  <si>
    <t>P08638</t>
  </si>
  <si>
    <t>Wall Mounted Suction Cup Soap Box</t>
  </si>
  <si>
    <t>Products_Images/P08638Wall Mounted Suction Cup Soap Box.Photo 1.023151.jpg</t>
  </si>
  <si>
    <t>P08596</t>
  </si>
  <si>
    <t>11 Pcs Household Tool Kit</t>
  </si>
  <si>
    <t>Products_Images/P0859611 Pcs Household Tool Kit.Photo 1.023321.jpg</t>
  </si>
  <si>
    <t>Products_Images/P0859611 Pcs Household Tool Kit.Photo 2.083036.jpg</t>
  </si>
  <si>
    <t>Products_Images/P0859611 Pcs Household Tool Kit.Photo 3.083036.jpg</t>
  </si>
  <si>
    <t>P08637</t>
  </si>
  <si>
    <t>Toothbrush Holder – Wall Mounted</t>
  </si>
  <si>
    <t>Products_Images/P08637Toothbrush Holder – Wall Mounted.Photo 1.023430.jpg</t>
  </si>
  <si>
    <t>P08633</t>
  </si>
  <si>
    <t>Umbrella Storage Holder</t>
  </si>
  <si>
    <t>Products_Images/P08633Umbrella Storage Holder.Photo 1.023536.jpg</t>
  </si>
  <si>
    <t>P08646</t>
  </si>
  <si>
    <t>Universal Clip Phone Holder - Pdliisn</t>
  </si>
  <si>
    <t>Products_Images/P08646Universal Clip Phone Holder - Pdliisn.Photo 1.023640.jpg</t>
  </si>
  <si>
    <t>P08663</t>
  </si>
  <si>
    <t>REMAX 7 in 1 Premium Smartwatch - YX21</t>
  </si>
  <si>
    <t>Products_Images/P08663REMAX 7 in 1 Premium Smartwatch - YX21.Photo 1.023747.jpg</t>
  </si>
  <si>
    <t>P08641</t>
  </si>
  <si>
    <t>Floral Designed Liner Roll - (45 × 150 cm)</t>
  </si>
  <si>
    <t>Products_Images/P08641Floral Designed Liner Roll - _3780040754358712974.Photo 1.023900.jpg</t>
  </si>
  <si>
    <t>P07625</t>
  </si>
  <si>
    <t>10 Pcs Makeup Brush With Pouch</t>
  </si>
  <si>
    <t>Products_Images/P0762510 Pcs Makeup Brush With Pouch.Photo 1.024014.jpg</t>
  </si>
  <si>
    <t>P06309</t>
  </si>
  <si>
    <t>2 In 1 Eyebrow And Facial Trimmer</t>
  </si>
  <si>
    <t>Products_Images/P063092 In 1 Eyebrow And Facial Trimmer.Photo 1.024122.jpg</t>
  </si>
  <si>
    <t>P04304</t>
  </si>
  <si>
    <t>2 Pcs Self Heating Knee Support</t>
  </si>
  <si>
    <t>Products_Images/P043042 Pcs Self Heating Knee Support.Photo 1.024303.jpg</t>
  </si>
  <si>
    <t>P08387</t>
  </si>
  <si>
    <t>Electric Double Head Shaver - JX-808</t>
  </si>
  <si>
    <t>Products_Images/P08387Electric Double Head Shaver - JX-808.Photo 1.024531.jpg</t>
  </si>
  <si>
    <t>P06796</t>
  </si>
  <si>
    <t>48 Pcs Cordless Screw Driver 4.2V</t>
  </si>
  <si>
    <t>Products_Images/P0679648 Pcs Cordless Screw Driver 4.2V.Photo 1.061804.jpg</t>
  </si>
  <si>
    <t>Products_Images/P0679648 Pcs Cordless Screw Driver 4.2V.Photo 2.061804.jpg</t>
  </si>
  <si>
    <t>Products_Images/P0679648 Pcs Cordless Screw Driver 4.2V.Photo 3.061804.jpg</t>
  </si>
  <si>
    <t>Products_Images/P0679648 Pcs Cordless Screw Driver 4.2V.photo 4.061807.jpg</t>
  </si>
  <si>
    <t>P00364</t>
  </si>
  <si>
    <t>5 In 1 Hot Hair Styler</t>
  </si>
  <si>
    <t>Products_Images/P003645 In 1 Hot Hair Styler.Photo 1.024822.jpg</t>
  </si>
  <si>
    <t>P08389</t>
  </si>
  <si>
    <t>Car Visor Makeup Vanity Mirror</t>
  </si>
  <si>
    <t>Products_Images/P08389Car Visor Makeup Vanity Mirror.Photo 1.024948.jpg</t>
  </si>
  <si>
    <t>P05707</t>
  </si>
  <si>
    <t>9 Grid Cloth Organizer</t>
  </si>
  <si>
    <t>Products_Images/P057079 Grid Cloth Organizer.Photo 1.025135.jpg</t>
  </si>
  <si>
    <t>P08390</t>
  </si>
  <si>
    <t>A8 Smart Video Recorder - HD Body Camera</t>
  </si>
  <si>
    <t>Products_Images/P08390A8 Smart Video Recorder - HD _2177750725286948374.Photo 1.025306.jpg</t>
  </si>
  <si>
    <t>P08112</t>
  </si>
  <si>
    <t>Adjustable Wiper</t>
  </si>
  <si>
    <t>Products_Images/P08112Adjustable Wiper.Photo 1.031907.jpg</t>
  </si>
  <si>
    <t>P04816</t>
  </si>
  <si>
    <t>Air Pod Pro (AAA Grade)</t>
  </si>
  <si>
    <t>Products_Images/P04816Air Pod Pro (AAA Grade).Photo 1.032019.jpg</t>
  </si>
  <si>
    <t>P01329</t>
  </si>
  <si>
    <t>Anti Theft Multi Functional Back Pack</t>
  </si>
  <si>
    <t>Products_Images/P01329Anti Theft Multi Functional Back Pack.Photo 1.032124.jpg</t>
  </si>
  <si>
    <t>P000131</t>
  </si>
  <si>
    <t>Beats P47 Bluetooth Wireless Headphone</t>
  </si>
  <si>
    <t>Products_Images/P000131Beats P47 Bluetooth Wireless Headphone.Photo 1.032312.jpg</t>
  </si>
  <si>
    <t>P03212</t>
  </si>
  <si>
    <t>Car Washing Water Gun Set</t>
  </si>
  <si>
    <t>Products_Images/P03212Car Washing Water Gun Set.Photo 1.032415.jpg</t>
  </si>
  <si>
    <t>P00306</t>
  </si>
  <si>
    <t>JBL Charge 3 Mini</t>
  </si>
  <si>
    <t>Products_Images/P00306JBL Charge 3 Mini.Photo 1.032613.jpg</t>
  </si>
  <si>
    <t>P00680</t>
  </si>
  <si>
    <t>Doctor Posture</t>
  </si>
  <si>
    <t>Products_Images/P00680Doctor Posture.Photo 1.032716.jpg</t>
  </si>
  <si>
    <t>P00299</t>
  </si>
  <si>
    <t>Electric Milk Frother</t>
  </si>
  <si>
    <t>Products_Images/P00299Electric Milk Frother.Photo 1.032840.jpg</t>
  </si>
  <si>
    <t>P08021</t>
  </si>
  <si>
    <t>Folding Water Pump Dispenser - Rechargeable</t>
  </si>
  <si>
    <t>Products_Images/P08021Folding Water Pump Dispenser _8697107756667165665.Photo 1.032937.jpg</t>
  </si>
  <si>
    <t>P06778</t>
  </si>
  <si>
    <t>K35 Wireless Microphone - Single Mic</t>
  </si>
  <si>
    <t>Products_Images/P06778K35 Wireless Microphone - Single Mic.Photo 1.033037.jpg</t>
  </si>
  <si>
    <t>P01094</t>
  </si>
  <si>
    <t>Mini Hair Straigh</t>
  </si>
  <si>
    <t>Products_Images/P01094Mini Hair Straigh.Photo 1.035311.jpg</t>
  </si>
  <si>
    <t>P00917</t>
  </si>
  <si>
    <t>Mini Portable Humidifier - 220ml</t>
  </si>
  <si>
    <t>Products_Images/P00917Mini Portable Humidifier - 220ml.Photo 1.171247.jpg</t>
  </si>
  <si>
    <t>P08019</t>
  </si>
  <si>
    <t>5M LED Neon Strip Lights With Adapter</t>
  </si>
  <si>
    <t>Products_Images/P080195M LED Neon Strip Lights With Adapter.Photo 1.040355.jpg</t>
  </si>
  <si>
    <t>P08485</t>
  </si>
  <si>
    <t>OSK-701 Rechargeable Smart Scalp Massager</t>
  </si>
  <si>
    <t>Products_Images/P08485OSK-701 Rechargeable Smart Sc_15014154284889329304.Photo 1.040533.jpg</t>
  </si>
  <si>
    <t>P00109</t>
  </si>
  <si>
    <t>30Led Solar Wall Lamp</t>
  </si>
  <si>
    <t>Products_Images/P0010930Led Solar Wall Lamp.Photo 1.040643.jpg</t>
  </si>
  <si>
    <t>P00110</t>
  </si>
  <si>
    <t>Solar Wall Lamp 100 Led Light</t>
  </si>
  <si>
    <t>Products_Images/P00110Solar Wall Lamp 100 Led Light.Photo 1.040837.jpg</t>
  </si>
  <si>
    <t>P05994525</t>
  </si>
  <si>
    <t>Vintage T9 Trimmer - Plastic</t>
  </si>
  <si>
    <t>Products_Images/P05994525Vintage T9 Trimmer - Plastic.Photo 1.042837.jpg</t>
  </si>
  <si>
    <t>P00233</t>
  </si>
  <si>
    <t>V Comb</t>
  </si>
  <si>
    <t>Products_Images/P00233V Comb.Photo 1.043223.jpg</t>
  </si>
  <si>
    <t>P00303</t>
  </si>
  <si>
    <t>Vintage T9</t>
  </si>
  <si>
    <t>Products_Images/P00303Vintage T9.Photo 1.043544.jpg</t>
  </si>
  <si>
    <t>P05579</t>
  </si>
  <si>
    <t>VR Box 2.0</t>
  </si>
  <si>
    <t>Electronics &amp; Gadgets</t>
  </si>
  <si>
    <t>Products_Images/P05579VR Box 2.0.Photo 1.073753.jpg</t>
  </si>
  <si>
    <t>P08674</t>
  </si>
  <si>
    <t>15W Magnetic Wireless Charger</t>
  </si>
  <si>
    <t>Products_Images/P0867415W Magnetic Wireless Charger.Photo 1.074847.jpg</t>
  </si>
  <si>
    <t>Products_Images/P0867415W Magnetic Wireless Charger.Photo 2.083147.jpg</t>
  </si>
  <si>
    <t>Products_Images/P0867415W Magnetic Wireless Charger.Photo 3.083147.jpg</t>
  </si>
  <si>
    <t>Products_Images/P0867415W Magnetic Wireless Charger.photo 4.083147.jpg</t>
  </si>
  <si>
    <t>P08672</t>
  </si>
  <si>
    <t>4 Pcs Travel Bottle Dispenser Set with Rack</t>
  </si>
  <si>
    <t>Products_Images/P086724 Pcs Travel Bottle Dispenser_6992169943328524746.Photo 1.075038.jpg</t>
  </si>
  <si>
    <t>Products_Images/P086724 Pcs Travel Bottle Dispenser_6992169943328524746.Photo 2.081818.jpg</t>
  </si>
  <si>
    <t>Products_Images/P086724 Pcs Travel Bottle Dispenser_6992169943328524746.Photo 3.081818.jpg</t>
  </si>
  <si>
    <t>Products_Images/P086724 Pcs Travel Bottle Dispenser_6992169943328524746.photo 4.081818.jpg</t>
  </si>
  <si>
    <t>P08680</t>
  </si>
  <si>
    <t>ABS-1202 Portable Wireless Speaker</t>
  </si>
  <si>
    <t>Products_Images/P08680ABS-1202 Portable Wireless Speaker.Photo 1.075156.jpg</t>
  </si>
  <si>
    <t>P08681</t>
  </si>
  <si>
    <t>B43 Portable Wireless Speaker</t>
  </si>
  <si>
    <t>Products_Images/P08681B43 Portable Wireless Speaker.Photo 1.075318.jpg</t>
  </si>
  <si>
    <t>P08686</t>
  </si>
  <si>
    <t>BS611 Bluetooth Headset</t>
  </si>
  <si>
    <t>Products_Images/P08686BS611 Bluetooth Headset.Photo 1.075446.jpg</t>
  </si>
  <si>
    <t>P08687</t>
  </si>
  <si>
    <t>BS617 RGB Glow Wireless Headset</t>
  </si>
  <si>
    <t>Products_Images/P08687BS617 RGB Glow Wireless Headset.Photo 1.075630.jpg</t>
  </si>
  <si>
    <t>Products_Images/P08687BS617 RGB Glow Wireless Headset.Photo 2.081045.jpg</t>
  </si>
  <si>
    <t>Products_Images/P08687BS617 RGB Glow Wireless Headset.Photo 3.081045.jpg</t>
  </si>
  <si>
    <t>P08679</t>
  </si>
  <si>
    <t>Clip 5 Portable Wireless Speaker</t>
  </si>
  <si>
    <t>Products_Images/P08679Clip 5 Portable Wireless Speaker.Photo 1.075746.jpg</t>
  </si>
  <si>
    <t>P08673</t>
  </si>
  <si>
    <t>F11 Professional Wireless Lavalier Microphone</t>
  </si>
  <si>
    <t>Products_Images/P08673F11 Professional Wireless Lav_15094762091757866422.Photo 1.075913.jpg</t>
  </si>
  <si>
    <t>Products_Images/P08673F11 Professional Wireless Lav_15094762091757866422.Photo 2.083356.jpg</t>
  </si>
  <si>
    <t>Products_Images/P08673F11 Professional Wireless Lav_15094762091757866422.Photo 3.083356.jpg</t>
  </si>
  <si>
    <t>P08675</t>
  </si>
  <si>
    <t>G57 Pro AI Translator Earbud</t>
  </si>
  <si>
    <t>Products_Images/P08675G57 Pro AI Translator Earbud.Photo 1.080033.jpg</t>
  </si>
  <si>
    <t>P08693</t>
  </si>
  <si>
    <t>GEC - 5916 Professional Hair Clipper</t>
  </si>
  <si>
    <t>Products_Images/P08693GEC - 5916 Professional Hair Clipper.Photo 1.080202.jpg</t>
  </si>
  <si>
    <t>P08697</t>
  </si>
  <si>
    <t>GEC-6086 Vintage Cordless Hair Trimmer</t>
  </si>
  <si>
    <t>Products_Images/P08697GEC-6086 Vintage Cordless Hair Trimmer.Photo 1.080530.jpg</t>
  </si>
  <si>
    <t>P08692</t>
  </si>
  <si>
    <t>GEC - 6081 Professional High-Power Trimmer</t>
  </si>
  <si>
    <t>Products_Images/P08692GEC - 6081 Professional High-_2116000730283968180.Photo 1.080717.jpg</t>
  </si>
  <si>
    <t>Products_Images/P08692GEC - 6081 Professional High-_2116000730283968180.Photo 2.085454.jpg</t>
  </si>
  <si>
    <t>Products_Images/P08692GEC - 6081 Professional High-_2116000730283968180.Photo 3.085454.jpg</t>
  </si>
  <si>
    <t>Products_Images/P08692GEC - 6081 Professional High-_2116000730283968180.photo 4.085454.jpg</t>
  </si>
  <si>
    <t>P08698</t>
  </si>
  <si>
    <t>GEC-6089 Sleek Metallic Cordless Pro Trimmer</t>
  </si>
  <si>
    <t>Products_Images/P08698GEC-6089 Sleek Metallic Cordl_14974146877382094520.Photo 1.080910.jpg</t>
  </si>
  <si>
    <t>Products_Images/P08698GEC-6089 Sleek Metallic Cordl_14974146877382094520.Photo 2.102725.jpg</t>
  </si>
  <si>
    <t>Products_Images/P08698GEC-6089 Sleek Metallic Cordl_14974146877382094520.Photo 3.102725.jpg</t>
  </si>
  <si>
    <t>Products_Images/P08698GEC-6089 Sleek Metallic Cordl_14974146877382094520.photo 4.102725.jpg</t>
  </si>
  <si>
    <t>P08685</t>
  </si>
  <si>
    <t>Xtreme 3 Mini Portable Speaker</t>
  </si>
  <si>
    <t>Products_Images/P08685Xtreme 3 Mini Portable Speaker.Photo 1.081033.jpg</t>
  </si>
  <si>
    <t>P08676</t>
  </si>
  <si>
    <t>GM50 Sport Wireless Earbud</t>
  </si>
  <si>
    <t>Products_Images/P08676GM50 Sport Wireless Earbud.Photo 1.081223.jpg</t>
  </si>
  <si>
    <t>Products_Images/P08676GM50 Sport Wireless Earbud.Photo 2.083546.jpg</t>
  </si>
  <si>
    <t>Products_Images/P08676GM50 Sport Wireless Earbud.Photo 3.083546.jpg</t>
  </si>
  <si>
    <t>Products_Images/P08676GM50 Sport Wireless Earbud.photo 4.083546.jpg</t>
  </si>
  <si>
    <t>P08597</t>
  </si>
  <si>
    <t>MJ Hair Straightener - HL-2520</t>
  </si>
  <si>
    <t>Products_Images/P08597MJ Hair Straightener - HL-2520.Photo 1.081341.jpg</t>
  </si>
  <si>
    <t>P08670</t>
  </si>
  <si>
    <t>Shoulder &amp; Hand Massager with Heat</t>
  </si>
  <si>
    <t>Health &amp; Personal Care</t>
  </si>
  <si>
    <t>Products_Images/P08670Shoulder &amp; Hand Massager with Heat.Photo 1.081541.jpg</t>
  </si>
  <si>
    <t>Products_Images/P08670Shoulder &amp; Hand Massager with Heat.Photo 2.084247.jpg</t>
  </si>
  <si>
    <t>P08657</t>
  </si>
  <si>
    <t>REMAX RM-22 Stereo Headphone</t>
  </si>
  <si>
    <t>Products_Images/P08657REMAX RM-22 Stereo Headphone.Photo 1.081917.jpg</t>
  </si>
  <si>
    <t>P08656</t>
  </si>
  <si>
    <t>XLAURI Y20 MAX Wireless Bluetooth Headphone</t>
  </si>
  <si>
    <t>Products_Images/P08656XLAURI Y20 MAX Wireless Bluet_9647393592791338440.Photo 1.082035.jpg</t>
  </si>
  <si>
    <t>P08701</t>
  </si>
  <si>
    <t>HY-6087 Luxury Gold Edition Cordless Trimmer</t>
  </si>
  <si>
    <t>Products_Images/P08701HY-6087 Luxury Gold Edition C_4445631287299950798.Photo 1.082232.jpg</t>
  </si>
  <si>
    <t>P02116</t>
  </si>
  <si>
    <t>RGB Led Strip Light With Adapter And Remote</t>
  </si>
  <si>
    <t>Products_Images/P02116RGB Led Strip Light With Adap_9514936357128476173.Photo 1.082557.jpg</t>
  </si>
  <si>
    <t>Products_Images/P02116RGB Led Strip Light With Adap_9514936357128476173.Photo 2.082557.jpg</t>
  </si>
  <si>
    <t>Products_Images/P02116RGB Led Strip Light With Adap_9514936357128476173.Photo 3.082557.jpg</t>
  </si>
  <si>
    <t>P08650</t>
  </si>
  <si>
    <t>REMAI PT38 Type-C Earphone</t>
  </si>
  <si>
    <t>Products_Images/P08650REMAI PT38 Type-C Earphone.Photo 1.083800.jpg</t>
  </si>
  <si>
    <t>Products_Images/P08650REMAI PT38 Type-C Earphone.Photo 2.083800.jpg</t>
  </si>
  <si>
    <t>Products_Images/P08650REMAI PT38 Type-C Earphone.Photo 3.083800.jpg</t>
  </si>
  <si>
    <t>P08649</t>
  </si>
  <si>
    <t>REMAI TC06 Type-C Earphone</t>
  </si>
  <si>
    <t>Products_Images/P08649REMAI TC06 Type-C Earphone.Photo 1.084134.jpg</t>
  </si>
  <si>
    <t>Products_Images/P08649REMAI TC06 Type-C Earphone.Photo 2.084134.jpg</t>
  </si>
  <si>
    <t>Products_Images/P08649REMAI TC06 Type-C Earphone.Photo 3.084134.jpg</t>
  </si>
  <si>
    <t>P08700</t>
  </si>
  <si>
    <t>HY-6088 Gradient Pro Hair Trimmer</t>
  </si>
  <si>
    <t>Products_Images/P08700HY-6088 Gradient Pro Hair Trimmer.Photo 1.085128.jpg</t>
  </si>
  <si>
    <t>Products_Images/P08700HY-6088 Gradient Pro Hair Trimmer.Photo 2.085128.jpg</t>
  </si>
  <si>
    <t>Products_Images/P08700HY-6088 Gradient Pro Hair Trimmer.Photo 3.085128.jpg</t>
  </si>
  <si>
    <t>Products_Images/P08700HY-6088 Gradient Pro Hair Trimmer.photo 4.090436.jpg</t>
  </si>
  <si>
    <t>Products_Files_/P08700HY-6088 Gradient Pro Hair Trimmer.Video Link.085131.mp4</t>
  </si>
  <si>
    <t>P08678</t>
  </si>
  <si>
    <t>SH-309 Portable Wireless Speaker</t>
  </si>
  <si>
    <t>Products_Images/P08678SH-309 Portable Wireless Speaker.Photo 1.085259.jpg</t>
  </si>
  <si>
    <t>Products_Images/P08678SH-309 Portable Wireless Speaker.Photo 2.085259.jpg</t>
  </si>
  <si>
    <t>Products_Images/P08678SH-309 Portable Wireless Speaker.Photo 3.085259.jpg</t>
  </si>
  <si>
    <t>P08696</t>
  </si>
  <si>
    <t>ZQ-01 Transparent Trimmer</t>
  </si>
  <si>
    <t>Products_Images/P08696ZQ-01 Transparent Trimmer.Photo 1.085630.jpg</t>
  </si>
  <si>
    <t>Products_Images/P08696ZQ-01 Transparent Trimmer.Photo 2.085630.jpg</t>
  </si>
  <si>
    <t>Products_Images/P08696ZQ-01 Transparent Trimmer.Photo 3.085630.jpg</t>
  </si>
  <si>
    <t>P08699</t>
  </si>
  <si>
    <t>HY-886 Pocket Trimmer</t>
  </si>
  <si>
    <t>Products_Images/P08699HY-886 Pocket Trimmer.Photo 1.090558.jpg</t>
  </si>
  <si>
    <t>P08702</t>
  </si>
  <si>
    <t>HY-966 Professional Shaver &amp; Trimmer</t>
  </si>
  <si>
    <t>Products_Images/P08702HY-966 Professional Shaver &amp; Trimmer.Photo 1.090750.jpg</t>
  </si>
  <si>
    <t>P08677</t>
  </si>
  <si>
    <t>M113 Wireless Earbud With Smart LED Display</t>
  </si>
  <si>
    <t>Products_Images/P08677M113 Wireless Earbud With Sma_8844850638335638638.Photo 1.090914.jpg</t>
  </si>
  <si>
    <t>P08683</t>
  </si>
  <si>
    <t>ON-M801 Portable Wireless Speaker Bag</t>
  </si>
  <si>
    <t>Products_Images/P08683ON-M801 Portable Wireless Speaker Bag.Photo 1.091029.jpg</t>
  </si>
  <si>
    <t>P08684</t>
  </si>
  <si>
    <t>M804 Luxury Crossbody Speaker Bag</t>
  </si>
  <si>
    <t>Products_Images/P08684M804 Luxury Crossbody Speaker Bag.Photo 1.141528.jpg</t>
  </si>
  <si>
    <t>Products_Images/P08684M804 Luxury Crossbody Speaker Bag.Photo 2.141528.jpg</t>
  </si>
  <si>
    <t>Products_Images/P08684M804 Luxury Crossbody Speaker Bag.Photo 3.141528.jpg</t>
  </si>
  <si>
    <t>P08688</t>
  </si>
  <si>
    <t>MSL-811 Ultra-Plush Fluffy Wireless Headset</t>
  </si>
  <si>
    <t>Products_Images/P08688MSL-811 Ultra-Plush Fluffy Wi_13431985105312980659.Photo 1.091326.jpg</t>
  </si>
  <si>
    <t>P08690</t>
  </si>
  <si>
    <t>P8807 Sleek Stereo Wireless RGB Headset</t>
  </si>
  <si>
    <t>Products_Images/P08690P8807 Sleek Stereo Wireless RGB Headset.Photo 1.091449.jpg</t>
  </si>
  <si>
    <t>P08691</t>
  </si>
  <si>
    <t>Cute Bunny Plush Wireless Headset</t>
  </si>
  <si>
    <t>Products_Images/P08691Cute Bunny Plush Wireless Headset.Photo 1.091612.jpg</t>
  </si>
  <si>
    <t>P08682</t>
  </si>
  <si>
    <t>Pro18 Portable Waterproof Wireless Speaker</t>
  </si>
  <si>
    <t>Products_Images/P08682Pro18 Portable Waterproof Wir_9307053778960076760.Photo 1.091732.jpg</t>
  </si>
  <si>
    <t>P08648</t>
  </si>
  <si>
    <t>REMAI PRO6S Wireless Earbuds</t>
  </si>
  <si>
    <t>Products_Images/P08648REMAI PRO6S Wireless Earbuds.Photo 1.093317.jpg</t>
  </si>
  <si>
    <t>P08647</t>
  </si>
  <si>
    <t>REMAI UREN-03 Wireless Earbuds</t>
  </si>
  <si>
    <t>Products_Images/P08647REMAI UREN-03 Wireless Earbuds.Photo 1.093728.jpg</t>
  </si>
  <si>
    <t>P08668</t>
  </si>
  <si>
    <t>Multi-Wheel Roller Massager</t>
  </si>
  <si>
    <t>Products_Images/P08668Multi-Wheel Roller Massager.Photo 1.094431.jpg</t>
  </si>
  <si>
    <t>P08689</t>
  </si>
  <si>
    <t>WBK-862 Cute Bear Plush Wireless Headset</t>
  </si>
  <si>
    <t>Products_Images/P08689WBK-862 Cute Bear Plush Wirel_11683329197970673486.Photo 1.094809.jpg</t>
  </si>
  <si>
    <t>P08642</t>
  </si>
  <si>
    <t>Xtaun Neckband-Style Wireless Earphones - XN21</t>
  </si>
  <si>
    <t>Products_Images/P08642Xtaun Neckband-Style Wireless_15956700465070306322.Photo 1.094955.jpg</t>
  </si>
  <si>
    <t>P08694</t>
  </si>
  <si>
    <t>YC-025 3-in-1 Professional Grooming Kit</t>
  </si>
  <si>
    <t>Products_Images/P08694YC-025 3-in-1 Professional Grooming Kit.Photo 1.095130.jpg</t>
  </si>
  <si>
    <t>P05621</t>
  </si>
  <si>
    <t>3 Ton Hydrolic Jack</t>
  </si>
  <si>
    <t>Products_Images/P056213 Ton Hydrolic Jack.Photo 1.055632.jpg</t>
  </si>
  <si>
    <t>Products_Images/P056213 Ton Hydrolic Jack.Photo 2.055632.jpg</t>
  </si>
  <si>
    <t>Products_Images/P056213 Ton Hydrolic Jack.Photo 3.055632.jpg</t>
  </si>
  <si>
    <t>Products_Images/P056213 Ton Hydrolic Jack.photo 4.055635.jpg</t>
  </si>
  <si>
    <t>P00186</t>
  </si>
  <si>
    <t>Dancing Cactus</t>
  </si>
  <si>
    <t>Products_Images/P00186Dancing Cactus.Photo 1.055915.jpg</t>
  </si>
  <si>
    <t>Products_Images/P00186Dancing Cactus.Photo 2.055915.jpg</t>
  </si>
  <si>
    <t>Products_Images/P00186Dancing Cactus.Photo 3.055914.jpg</t>
  </si>
  <si>
    <t>Products_Images/P00186Dancing Cactus.photo 4.055917.jpg</t>
  </si>
  <si>
    <t>P01167</t>
  </si>
  <si>
    <t>2 Pcs Super Absorbent Floor Mat (45x120cm)</t>
  </si>
  <si>
    <t>Products_Images/P011672 Pcs Super Absorbent Floor M_16746875148501730238.Photo 1.060212.jpg</t>
  </si>
  <si>
    <t>P05414</t>
  </si>
  <si>
    <t>Spine Performance Pro</t>
  </si>
  <si>
    <t>Products_Images/P05414Spine Performance Pro.Photo 1.062104.jpg</t>
  </si>
  <si>
    <t>Products_Images/P05414Spine Performance Pro.Photo 2.062104.jpg</t>
  </si>
  <si>
    <t>Products_Images/P05414Spine Performance Pro.Photo 3.062104.jpg</t>
  </si>
  <si>
    <t>Products_Images/P05414Spine Performance Pro.photo 4.062106.jpg</t>
  </si>
  <si>
    <t>P08442</t>
  </si>
  <si>
    <t>Travel Neck Pillow - Fillable</t>
  </si>
  <si>
    <t>Products_Images/P08442Travel Neck Pillow - Fillable.Photo 1.112509.jpg</t>
  </si>
  <si>
    <t>Products_Images/P08442Travel Neck Pillow - Fillable.Photo 2.112509.jpg</t>
  </si>
  <si>
    <t>Products_Images/P08442Travel Neck Pillow - Fillable.Photo 3.112509.jpg</t>
  </si>
  <si>
    <t>Products_Images/P08442Travel Neck Pillow - Fillable.photo 4.112511.jpg</t>
  </si>
  <si>
    <t>P00606</t>
  </si>
  <si>
    <t>Super Mega Art Set 168 Pcs</t>
  </si>
  <si>
    <t>Products_Images/P00606Super Mega Art Set 168 Pcs.Photo 1.113522.jpg</t>
  </si>
  <si>
    <t>P08462</t>
  </si>
  <si>
    <t>High Pressure Toilet Unblock Tool</t>
  </si>
  <si>
    <t>P00311</t>
  </si>
  <si>
    <t>Vaccum Sealer</t>
  </si>
  <si>
    <t>P07124</t>
  </si>
  <si>
    <t>Rechargeable Flawless Eyebrow Trimmer</t>
  </si>
  <si>
    <t>Products_Images/P07124Rechargeable Flawless Eyebrow Trimmer.Photo 1.113949.jpg</t>
  </si>
  <si>
    <t>P00890</t>
  </si>
  <si>
    <t>3 in 1 Multi Functional Air Cooler</t>
  </si>
  <si>
    <t>Products_Images/P008903 in 1 Multi Functional Air Cooler.Photo 1.114234.jpg</t>
  </si>
  <si>
    <t>P04701</t>
  </si>
  <si>
    <t>4 Mode Led Torch With Side Light</t>
  </si>
  <si>
    <t>Products_Images/P047014 Mode Led Torch With Side Light.Photo 1.114359.jpg</t>
  </si>
  <si>
    <t>P08695</t>
  </si>
  <si>
    <t>HY-967 Professional 2 In 1 Electric Shaver &amp; Trimmer</t>
  </si>
  <si>
    <t>Products_Images/P08695HY-967 Professional 2 In 1 El_14990297879274741418.Photo 1.063527.jpg</t>
  </si>
  <si>
    <t>P00157</t>
  </si>
  <si>
    <t>Flawless Rechargable Facial Trimmer</t>
  </si>
  <si>
    <t>Products_Images/P00157Flawless Rechargable Facial Trimmer.Photo 1.064946.jpg</t>
  </si>
  <si>
    <t>Order ID</t>
  </si>
  <si>
    <t>Date</t>
  </si>
  <si>
    <t>Customer</t>
  </si>
  <si>
    <t>Phone</t>
  </si>
  <si>
    <t>Address</t>
  </si>
  <si>
    <t>Qty</t>
  </si>
  <si>
    <t>Total</t>
  </si>
  <si>
    <t>Customer Name</t>
  </si>
  <si>
    <t>City</t>
  </si>
  <si>
    <t>Total Orders</t>
  </si>
  <si>
    <t>Last Order Date</t>
  </si>
  <si>
    <t>Enter Product Code</t>
  </si>
  <si>
    <t>Stock</t>
  </si>
  <si>
    <t>ZYRO.LK DASHBOARD</t>
  </si>
  <si>
    <t>Total Products</t>
  </si>
  <si>
    <t>Total Stock</t>
  </si>
  <si>
    <t>Potential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</si>
</sst>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5.0"/>
    <col customWidth="1" min="3" max="3" width="20.0"/>
    <col customWidth="1" min="4" max="4" width="40.0"/>
    <col customWidth="1" min="5" max="7" width="12.0"/>
    <col customWidth="1" min="8" max="9" width="10.0"/>
    <col customWidth="1" min="10" max="11" width="12.0"/>
    <col customWidth="1" min="12" max="16" width="20.0"/>
    <col customWidth="1" min="17" max="18" width="25.0"/>
    <col customWidth="1" min="19" max="21" width="15.0"/>
    <col customWidth="1" min="2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3">
      <c r="A3" s="3" t="s">
        <v>21</v>
      </c>
      <c r="B3" s="3" t="s">
        <v>22</v>
      </c>
      <c r="C3" s="3" t="s">
        <v>23</v>
      </c>
      <c r="E3" s="3">
        <v>1000.0</v>
      </c>
      <c r="F3" s="3">
        <v>1950.0</v>
      </c>
      <c r="G3" s="3">
        <v>1450.0</v>
      </c>
      <c r="H3" s="4">
        <f t="shared" ref="H3:H214" si="1">G3-E3</f>
        <v>450</v>
      </c>
      <c r="J3" s="3">
        <v>450.0</v>
      </c>
      <c r="K3" s="3" t="b">
        <v>1</v>
      </c>
      <c r="L3" s="3" t="s">
        <v>24</v>
      </c>
      <c r="S3" s="3" t="s">
        <v>25</v>
      </c>
      <c r="T3" s="5">
        <v>46196.0</v>
      </c>
      <c r="U3" s="4" t="str">
        <f t="shared" ref="U3:U214" si="2">IF(I3&lt;=0,"Out of Stock","In Stock")</f>
        <v>Out of Stock</v>
      </c>
    </row>
    <row r="4">
      <c r="A4" s="3" t="s">
        <v>26</v>
      </c>
      <c r="B4" s="3" t="s">
        <v>27</v>
      </c>
      <c r="C4" s="3" t="s">
        <v>23</v>
      </c>
      <c r="E4" s="3">
        <v>2050.0</v>
      </c>
      <c r="F4" s="3">
        <v>2850.0</v>
      </c>
      <c r="G4" s="3">
        <v>2390.0</v>
      </c>
      <c r="H4" s="4">
        <f t="shared" si="1"/>
        <v>340</v>
      </c>
      <c r="K4" s="3" t="b">
        <v>1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  <c r="T4" s="5">
        <v>46196.0</v>
      </c>
      <c r="U4" s="4" t="str">
        <f t="shared" si="2"/>
        <v>Out of Stock</v>
      </c>
    </row>
    <row r="5">
      <c r="A5" s="3" t="s">
        <v>33</v>
      </c>
      <c r="B5" s="3" t="s">
        <v>34</v>
      </c>
      <c r="C5" s="3" t="s">
        <v>23</v>
      </c>
      <c r="E5" s="3">
        <v>1900.0</v>
      </c>
      <c r="F5" s="3">
        <v>2650.0</v>
      </c>
      <c r="G5" s="3">
        <v>2290.0</v>
      </c>
      <c r="H5" s="4">
        <f t="shared" si="1"/>
        <v>390</v>
      </c>
      <c r="K5" s="3" t="b">
        <v>1</v>
      </c>
      <c r="L5" s="3" t="s">
        <v>35</v>
      </c>
      <c r="M5" s="3" t="s">
        <v>36</v>
      </c>
      <c r="N5" s="3" t="s">
        <v>37</v>
      </c>
      <c r="O5" s="3" t="s">
        <v>38</v>
      </c>
      <c r="T5" s="5">
        <v>46196.0</v>
      </c>
      <c r="U5" s="4" t="str">
        <f t="shared" si="2"/>
        <v>Out of Stock</v>
      </c>
    </row>
    <row r="6">
      <c r="A6" s="3" t="s">
        <v>39</v>
      </c>
      <c r="B6" s="3" t="s">
        <v>40</v>
      </c>
      <c r="C6" s="3" t="s">
        <v>23</v>
      </c>
      <c r="E6" s="3">
        <v>1100.0</v>
      </c>
      <c r="F6" s="3">
        <v>1590.0</v>
      </c>
      <c r="G6" s="3">
        <v>1390.0</v>
      </c>
      <c r="H6" s="4">
        <f t="shared" si="1"/>
        <v>290</v>
      </c>
      <c r="K6" s="3" t="b">
        <v>1</v>
      </c>
      <c r="L6" s="3" t="s">
        <v>41</v>
      </c>
      <c r="T6" s="5">
        <v>46196.0</v>
      </c>
      <c r="U6" s="4" t="str">
        <f t="shared" si="2"/>
        <v>Out of Stock</v>
      </c>
    </row>
    <row r="7">
      <c r="A7" s="3" t="s">
        <v>42</v>
      </c>
      <c r="B7" s="3" t="s">
        <v>43</v>
      </c>
      <c r="C7" s="3" t="s">
        <v>23</v>
      </c>
      <c r="E7" s="3">
        <v>1200.0</v>
      </c>
      <c r="F7" s="3">
        <v>1650.0</v>
      </c>
      <c r="G7" s="3">
        <v>1550.0</v>
      </c>
      <c r="H7" s="4">
        <f t="shared" si="1"/>
        <v>350</v>
      </c>
      <c r="K7" s="3" t="b">
        <v>1</v>
      </c>
      <c r="L7" s="3" t="s">
        <v>44</v>
      </c>
      <c r="M7" s="3" t="s">
        <v>45</v>
      </c>
      <c r="N7" s="3" t="s">
        <v>46</v>
      </c>
      <c r="O7" s="3" t="s">
        <v>47</v>
      </c>
      <c r="T7" s="5">
        <v>46196.0</v>
      </c>
      <c r="U7" s="4" t="str">
        <f t="shared" si="2"/>
        <v>Out of Stock</v>
      </c>
    </row>
    <row r="8">
      <c r="A8" s="3" t="s">
        <v>48</v>
      </c>
      <c r="B8" s="3" t="s">
        <v>49</v>
      </c>
      <c r="C8" s="3" t="s">
        <v>23</v>
      </c>
      <c r="E8" s="3">
        <v>975.0</v>
      </c>
      <c r="F8" s="3">
        <v>1750.0</v>
      </c>
      <c r="G8" s="3">
        <v>1560.0</v>
      </c>
      <c r="H8" s="4">
        <f t="shared" si="1"/>
        <v>585</v>
      </c>
      <c r="K8" s="3" t="b">
        <v>1</v>
      </c>
      <c r="L8" s="3" t="s">
        <v>50</v>
      </c>
      <c r="M8" s="3"/>
      <c r="N8" s="3"/>
      <c r="T8" s="5">
        <v>46196.0</v>
      </c>
      <c r="U8" s="4" t="str">
        <f t="shared" si="2"/>
        <v>Out of Stock</v>
      </c>
    </row>
    <row r="9">
      <c r="A9" s="3" t="s">
        <v>51</v>
      </c>
      <c r="B9" s="3" t="s">
        <v>52</v>
      </c>
      <c r="C9" s="3" t="s">
        <v>23</v>
      </c>
      <c r="E9" s="3">
        <v>1100.0</v>
      </c>
      <c r="F9" s="3">
        <v>1550.0</v>
      </c>
      <c r="G9" s="3">
        <v>1390.0</v>
      </c>
      <c r="H9" s="4">
        <f t="shared" si="1"/>
        <v>290</v>
      </c>
      <c r="K9" s="3" t="b">
        <v>1</v>
      </c>
      <c r="L9" s="3" t="s">
        <v>53</v>
      </c>
      <c r="T9" s="5">
        <v>46196.0</v>
      </c>
      <c r="U9" s="4" t="str">
        <f t="shared" si="2"/>
        <v>Out of Stock</v>
      </c>
    </row>
    <row r="10">
      <c r="A10" s="3" t="s">
        <v>54</v>
      </c>
      <c r="B10" s="3" t="s">
        <v>55</v>
      </c>
      <c r="C10" s="3" t="s">
        <v>23</v>
      </c>
      <c r="E10" s="3">
        <v>1300.0</v>
      </c>
      <c r="F10" s="3">
        <v>2250.0</v>
      </c>
      <c r="G10" s="3">
        <v>1750.0</v>
      </c>
      <c r="H10" s="4">
        <f t="shared" si="1"/>
        <v>450</v>
      </c>
      <c r="K10" s="3" t="b">
        <v>1</v>
      </c>
      <c r="L10" s="3" t="s">
        <v>56</v>
      </c>
      <c r="T10" s="5">
        <v>46196.0</v>
      </c>
      <c r="U10" s="4" t="str">
        <f t="shared" si="2"/>
        <v>Out of Stock</v>
      </c>
    </row>
    <row r="11">
      <c r="A11" s="3" t="s">
        <v>57</v>
      </c>
      <c r="B11" s="3" t="s">
        <v>58</v>
      </c>
      <c r="C11" s="3" t="s">
        <v>23</v>
      </c>
      <c r="E11" s="3">
        <v>850.0</v>
      </c>
      <c r="F11" s="3">
        <v>1250.0</v>
      </c>
      <c r="G11" s="3">
        <v>1050.0</v>
      </c>
      <c r="H11" s="4">
        <f t="shared" si="1"/>
        <v>200</v>
      </c>
      <c r="K11" s="3" t="b">
        <v>1</v>
      </c>
      <c r="L11" s="3" t="s">
        <v>59</v>
      </c>
      <c r="M11" s="3" t="s">
        <v>60</v>
      </c>
      <c r="N11" s="3" t="s">
        <v>61</v>
      </c>
      <c r="O11" s="3" t="s">
        <v>62</v>
      </c>
      <c r="P11" s="3" t="s">
        <v>63</v>
      </c>
      <c r="T11" s="5">
        <v>46196.0</v>
      </c>
      <c r="U11" s="4" t="str">
        <f t="shared" si="2"/>
        <v>Out of Stock</v>
      </c>
    </row>
    <row r="12">
      <c r="A12" s="3" t="s">
        <v>64</v>
      </c>
      <c r="B12" s="3" t="s">
        <v>65</v>
      </c>
      <c r="C12" s="3" t="s">
        <v>23</v>
      </c>
      <c r="E12" s="3">
        <v>1200.0</v>
      </c>
      <c r="F12" s="3">
        <v>1950.0</v>
      </c>
      <c r="G12" s="3">
        <v>1550.0</v>
      </c>
      <c r="H12" s="4">
        <f t="shared" si="1"/>
        <v>350</v>
      </c>
      <c r="L12" s="3" t="s">
        <v>66</v>
      </c>
      <c r="M12" s="3" t="s">
        <v>67</v>
      </c>
      <c r="N12" s="3" t="s">
        <v>68</v>
      </c>
      <c r="T12" s="5">
        <v>46196.0</v>
      </c>
      <c r="U12" s="4" t="str">
        <f t="shared" si="2"/>
        <v>Out of Stock</v>
      </c>
    </row>
    <row r="13">
      <c r="A13" s="3" t="s">
        <v>69</v>
      </c>
      <c r="B13" s="3" t="s">
        <v>70</v>
      </c>
      <c r="C13" s="3" t="s">
        <v>23</v>
      </c>
      <c r="E13" s="3">
        <v>900.0</v>
      </c>
      <c r="H13" s="4">
        <f t="shared" si="1"/>
        <v>-900</v>
      </c>
      <c r="T13" s="5">
        <v>46196.0</v>
      </c>
      <c r="U13" s="4" t="str">
        <f t="shared" si="2"/>
        <v>Out of Stock</v>
      </c>
    </row>
    <row r="14">
      <c r="A14" s="3" t="s">
        <v>71</v>
      </c>
      <c r="B14" s="3" t="s">
        <v>72</v>
      </c>
      <c r="C14" s="3" t="s">
        <v>73</v>
      </c>
      <c r="E14" s="3">
        <v>3550.0</v>
      </c>
      <c r="F14" s="3">
        <v>4360.0</v>
      </c>
      <c r="H14" s="4">
        <f t="shared" si="1"/>
        <v>-3550</v>
      </c>
      <c r="L14" s="3" t="s">
        <v>74</v>
      </c>
      <c r="T14" s="5">
        <v>46196.0</v>
      </c>
      <c r="U14" s="4" t="str">
        <f t="shared" si="2"/>
        <v>Out of Stock</v>
      </c>
    </row>
    <row r="15">
      <c r="A15" s="3" t="s">
        <v>75</v>
      </c>
      <c r="B15" s="3" t="s">
        <v>76</v>
      </c>
      <c r="C15" s="3" t="s">
        <v>77</v>
      </c>
      <c r="E15" s="3">
        <v>3700.0</v>
      </c>
      <c r="F15" s="3">
        <v>4600.0</v>
      </c>
      <c r="H15" s="4">
        <f t="shared" si="1"/>
        <v>-3700</v>
      </c>
      <c r="L15" s="3" t="s">
        <v>78</v>
      </c>
      <c r="T15" s="5">
        <v>46196.0</v>
      </c>
      <c r="U15" s="4" t="str">
        <f t="shared" si="2"/>
        <v>Out of Stock</v>
      </c>
    </row>
    <row r="16">
      <c r="A16" s="3" t="s">
        <v>79</v>
      </c>
      <c r="B16" s="3" t="s">
        <v>80</v>
      </c>
      <c r="C16" s="3" t="s">
        <v>81</v>
      </c>
      <c r="E16" s="3">
        <v>850.0</v>
      </c>
      <c r="F16" s="3">
        <v>1000.0</v>
      </c>
      <c r="H16" s="4">
        <f t="shared" si="1"/>
        <v>-850</v>
      </c>
      <c r="L16" s="3" t="s">
        <v>82</v>
      </c>
      <c r="T16" s="5">
        <v>46196.0</v>
      </c>
      <c r="U16" s="4" t="str">
        <f t="shared" si="2"/>
        <v>Out of Stock</v>
      </c>
    </row>
    <row r="17">
      <c r="A17" s="3" t="s">
        <v>83</v>
      </c>
      <c r="B17" s="3" t="s">
        <v>84</v>
      </c>
      <c r="C17" s="3" t="s">
        <v>23</v>
      </c>
      <c r="E17" s="3">
        <v>1150.0</v>
      </c>
      <c r="F17" s="3">
        <v>1600.0</v>
      </c>
      <c r="G17" s="3">
        <v>1350.0</v>
      </c>
      <c r="H17" s="4">
        <f t="shared" si="1"/>
        <v>200</v>
      </c>
      <c r="L17" s="3" t="s">
        <v>85</v>
      </c>
      <c r="M17" s="3" t="s">
        <v>86</v>
      </c>
      <c r="N17" s="3" t="s">
        <v>87</v>
      </c>
      <c r="O17" s="3" t="s">
        <v>88</v>
      </c>
      <c r="T17" s="5">
        <v>46196.0</v>
      </c>
      <c r="U17" s="4" t="str">
        <f t="shared" si="2"/>
        <v>Out of Stock</v>
      </c>
    </row>
    <row r="18">
      <c r="A18" s="3" t="s">
        <v>89</v>
      </c>
      <c r="B18" s="3" t="s">
        <v>90</v>
      </c>
      <c r="C18" s="3" t="s">
        <v>91</v>
      </c>
      <c r="E18" s="3">
        <v>2300.0</v>
      </c>
      <c r="F18" s="3">
        <v>2900.0</v>
      </c>
      <c r="H18" s="4">
        <f t="shared" si="1"/>
        <v>-2300</v>
      </c>
      <c r="L18" s="3" t="s">
        <v>92</v>
      </c>
      <c r="T18" s="5">
        <v>46196.0</v>
      </c>
      <c r="U18" s="4" t="str">
        <f t="shared" si="2"/>
        <v>Out of Stock</v>
      </c>
    </row>
    <row r="19">
      <c r="A19" s="3" t="s">
        <v>93</v>
      </c>
      <c r="B19" s="3" t="s">
        <v>94</v>
      </c>
      <c r="C19" s="3" t="s">
        <v>73</v>
      </c>
      <c r="E19" s="3">
        <v>525.0</v>
      </c>
      <c r="F19" s="3">
        <v>650.0</v>
      </c>
      <c r="H19" s="4">
        <f t="shared" si="1"/>
        <v>-525</v>
      </c>
      <c r="L19" s="3" t="s">
        <v>95</v>
      </c>
      <c r="T19" s="5">
        <v>46196.0</v>
      </c>
      <c r="U19" s="4" t="str">
        <f t="shared" si="2"/>
        <v>Out of Stock</v>
      </c>
    </row>
    <row r="20">
      <c r="A20" s="3" t="s">
        <v>96</v>
      </c>
      <c r="B20" s="3" t="s">
        <v>97</v>
      </c>
      <c r="C20" s="3" t="s">
        <v>73</v>
      </c>
      <c r="E20" s="3">
        <v>1300.0</v>
      </c>
      <c r="F20" s="3">
        <v>1900.0</v>
      </c>
      <c r="H20" s="4">
        <f t="shared" si="1"/>
        <v>-1300</v>
      </c>
      <c r="L20" s="3" t="s">
        <v>98</v>
      </c>
      <c r="T20" s="5">
        <v>46196.0</v>
      </c>
      <c r="U20" s="4" t="str">
        <f t="shared" si="2"/>
        <v>Out of Stock</v>
      </c>
    </row>
    <row r="21" ht="15.75" customHeight="1">
      <c r="A21" s="3" t="s">
        <v>99</v>
      </c>
      <c r="B21" s="3" t="s">
        <v>100</v>
      </c>
      <c r="C21" s="3" t="s">
        <v>101</v>
      </c>
      <c r="E21" s="3">
        <v>1300.0</v>
      </c>
      <c r="F21" s="3">
        <v>1900.0</v>
      </c>
      <c r="H21" s="4">
        <f t="shared" si="1"/>
        <v>-1300</v>
      </c>
      <c r="L21" s="3" t="s">
        <v>102</v>
      </c>
      <c r="T21" s="5">
        <v>46196.0</v>
      </c>
      <c r="U21" s="4" t="str">
        <f t="shared" si="2"/>
        <v>Out of Stock</v>
      </c>
    </row>
    <row r="22" ht="15.75" customHeight="1">
      <c r="A22" s="3" t="s">
        <v>103</v>
      </c>
      <c r="B22" s="3" t="s">
        <v>104</v>
      </c>
      <c r="C22" s="3" t="s">
        <v>73</v>
      </c>
      <c r="E22" s="3">
        <v>1300.0</v>
      </c>
      <c r="F22" s="3">
        <v>1900.0</v>
      </c>
      <c r="H22" s="4">
        <f t="shared" si="1"/>
        <v>-1300</v>
      </c>
      <c r="L22" s="3" t="s">
        <v>105</v>
      </c>
      <c r="T22" s="5">
        <v>46196.0</v>
      </c>
      <c r="U22" s="4" t="str">
        <f t="shared" si="2"/>
        <v>Out of Stock</v>
      </c>
    </row>
    <row r="23" ht="15.75" customHeight="1">
      <c r="A23" s="3" t="s">
        <v>106</v>
      </c>
      <c r="B23" s="3" t="s">
        <v>107</v>
      </c>
      <c r="C23" s="3" t="s">
        <v>73</v>
      </c>
      <c r="E23" s="3">
        <v>1300.0</v>
      </c>
      <c r="F23" s="3">
        <v>1900.0</v>
      </c>
      <c r="H23" s="4">
        <f t="shared" si="1"/>
        <v>-1300</v>
      </c>
      <c r="L23" s="3" t="s">
        <v>108</v>
      </c>
      <c r="T23" s="5">
        <v>46196.0</v>
      </c>
      <c r="U23" s="4" t="str">
        <f t="shared" si="2"/>
        <v>Out of Stock</v>
      </c>
    </row>
    <row r="24" ht="15.75" customHeight="1">
      <c r="A24" s="3" t="s">
        <v>109</v>
      </c>
      <c r="B24" s="3" t="s">
        <v>110</v>
      </c>
      <c r="C24" s="3" t="s">
        <v>23</v>
      </c>
      <c r="E24" s="3">
        <v>900.0</v>
      </c>
      <c r="F24" s="3">
        <v>1600.0</v>
      </c>
      <c r="G24" s="3">
        <v>1290.0</v>
      </c>
      <c r="H24" s="4">
        <f t="shared" si="1"/>
        <v>390</v>
      </c>
      <c r="L24" s="3" t="s">
        <v>111</v>
      </c>
      <c r="T24" s="5">
        <v>46196.0</v>
      </c>
      <c r="U24" s="4" t="str">
        <f t="shared" si="2"/>
        <v>Out of Stock</v>
      </c>
    </row>
    <row r="25" ht="15.75" customHeight="1">
      <c r="A25" s="3" t="s">
        <v>112</v>
      </c>
      <c r="B25" s="3" t="s">
        <v>113</v>
      </c>
      <c r="C25" s="3" t="s">
        <v>114</v>
      </c>
      <c r="E25" s="3">
        <v>1300.0</v>
      </c>
      <c r="F25" s="3">
        <v>1700.0</v>
      </c>
      <c r="G25" s="3">
        <v>1590.0</v>
      </c>
      <c r="H25" s="4">
        <f t="shared" si="1"/>
        <v>290</v>
      </c>
      <c r="L25" s="3" t="s">
        <v>115</v>
      </c>
      <c r="M25" s="3" t="s">
        <v>116</v>
      </c>
      <c r="N25" s="3" t="s">
        <v>117</v>
      </c>
      <c r="O25" s="3" t="s">
        <v>118</v>
      </c>
      <c r="T25" s="5">
        <v>46196.0</v>
      </c>
      <c r="U25" s="4" t="str">
        <f t="shared" si="2"/>
        <v>Out of Stock</v>
      </c>
    </row>
    <row r="26" ht="15.75" customHeight="1">
      <c r="A26" s="3" t="s">
        <v>119</v>
      </c>
      <c r="B26" s="3" t="s">
        <v>120</v>
      </c>
      <c r="C26" s="3" t="s">
        <v>77</v>
      </c>
      <c r="E26" s="3">
        <v>1100.0</v>
      </c>
      <c r="F26" s="3">
        <v>1550.0</v>
      </c>
      <c r="H26" s="4">
        <f t="shared" si="1"/>
        <v>-1100</v>
      </c>
      <c r="L26" s="3" t="s">
        <v>121</v>
      </c>
      <c r="T26" s="5">
        <v>46196.0</v>
      </c>
      <c r="U26" s="4" t="str">
        <f t="shared" si="2"/>
        <v>Out of Stock</v>
      </c>
    </row>
    <row r="27" ht="15.75" customHeight="1">
      <c r="A27" s="3" t="s">
        <v>122</v>
      </c>
      <c r="B27" s="3" t="s">
        <v>123</v>
      </c>
      <c r="C27" s="3" t="s">
        <v>91</v>
      </c>
      <c r="E27" s="3">
        <v>1650.0</v>
      </c>
      <c r="F27" s="3">
        <v>2460.0</v>
      </c>
      <c r="H27" s="4">
        <f t="shared" si="1"/>
        <v>-1650</v>
      </c>
      <c r="L27" s="3" t="s">
        <v>124</v>
      </c>
      <c r="T27" s="5">
        <v>46196.0</v>
      </c>
      <c r="U27" s="4" t="str">
        <f t="shared" si="2"/>
        <v>Out of Stock</v>
      </c>
    </row>
    <row r="28" ht="15.75" customHeight="1">
      <c r="A28" s="3" t="s">
        <v>125</v>
      </c>
      <c r="B28" s="3" t="s">
        <v>126</v>
      </c>
      <c r="C28" s="3" t="s">
        <v>23</v>
      </c>
      <c r="E28" s="3">
        <v>650.0</v>
      </c>
      <c r="F28" s="3">
        <v>1850.0</v>
      </c>
      <c r="G28" s="3">
        <v>1350.0</v>
      </c>
      <c r="H28" s="4">
        <f t="shared" si="1"/>
        <v>700</v>
      </c>
      <c r="L28" s="3" t="s">
        <v>127</v>
      </c>
      <c r="T28" s="5">
        <v>46196.0</v>
      </c>
      <c r="U28" s="4" t="str">
        <f t="shared" si="2"/>
        <v>Out of Stock</v>
      </c>
    </row>
    <row r="29" ht="15.75" customHeight="1">
      <c r="A29" s="3" t="s">
        <v>128</v>
      </c>
      <c r="B29" s="3" t="s">
        <v>129</v>
      </c>
      <c r="C29" s="3" t="s">
        <v>73</v>
      </c>
      <c r="E29" s="3">
        <v>1900.0</v>
      </c>
      <c r="F29" s="3">
        <v>2690.0</v>
      </c>
      <c r="H29" s="4">
        <f t="shared" si="1"/>
        <v>-1900</v>
      </c>
      <c r="L29" s="3" t="s">
        <v>130</v>
      </c>
      <c r="T29" s="5">
        <v>46196.0</v>
      </c>
      <c r="U29" s="4" t="str">
        <f t="shared" si="2"/>
        <v>Out of Stock</v>
      </c>
    </row>
    <row r="30" ht="15.75" customHeight="1">
      <c r="A30" s="3" t="s">
        <v>131</v>
      </c>
      <c r="B30" s="3" t="s">
        <v>132</v>
      </c>
      <c r="C30" s="3" t="s">
        <v>91</v>
      </c>
      <c r="E30" s="3">
        <v>850.0</v>
      </c>
      <c r="F30" s="3">
        <v>1600.0</v>
      </c>
      <c r="H30" s="4">
        <f t="shared" si="1"/>
        <v>-850</v>
      </c>
      <c r="L30" s="3" t="s">
        <v>133</v>
      </c>
      <c r="T30" s="5">
        <v>46196.0</v>
      </c>
      <c r="U30" s="4" t="str">
        <f t="shared" si="2"/>
        <v>Out of Stock</v>
      </c>
    </row>
    <row r="31" ht="15.75" customHeight="1">
      <c r="A31" s="3" t="s">
        <v>134</v>
      </c>
      <c r="B31" s="3" t="s">
        <v>135</v>
      </c>
      <c r="C31" s="3" t="s">
        <v>73</v>
      </c>
      <c r="E31" s="3">
        <v>1090.0</v>
      </c>
      <c r="F31" s="3">
        <v>1560.0</v>
      </c>
      <c r="H31" s="4">
        <f t="shared" si="1"/>
        <v>-1090</v>
      </c>
      <c r="L31" s="3" t="s">
        <v>136</v>
      </c>
      <c r="T31" s="5">
        <v>46196.0</v>
      </c>
      <c r="U31" s="4" t="str">
        <f t="shared" si="2"/>
        <v>Out of Stock</v>
      </c>
    </row>
    <row r="32" ht="15.75" customHeight="1">
      <c r="A32" s="3" t="s">
        <v>137</v>
      </c>
      <c r="B32" s="3" t="s">
        <v>138</v>
      </c>
      <c r="C32" s="3" t="s">
        <v>73</v>
      </c>
      <c r="E32" s="3">
        <v>1500.0</v>
      </c>
      <c r="F32" s="3">
        <v>2600.0</v>
      </c>
      <c r="H32" s="4">
        <f t="shared" si="1"/>
        <v>-1500</v>
      </c>
      <c r="L32" s="3" t="s">
        <v>139</v>
      </c>
      <c r="T32" s="5">
        <v>46196.0</v>
      </c>
      <c r="U32" s="4" t="str">
        <f t="shared" si="2"/>
        <v>Out of Stock</v>
      </c>
    </row>
    <row r="33" ht="15.75" customHeight="1">
      <c r="A33" s="3" t="s">
        <v>140</v>
      </c>
      <c r="B33" s="3" t="s">
        <v>141</v>
      </c>
      <c r="C33" s="3" t="s">
        <v>73</v>
      </c>
      <c r="E33" s="3">
        <v>525.0</v>
      </c>
      <c r="F33" s="3">
        <v>1300.0</v>
      </c>
      <c r="H33" s="4">
        <f t="shared" si="1"/>
        <v>-525</v>
      </c>
      <c r="L33" s="3" t="s">
        <v>142</v>
      </c>
      <c r="T33" s="5">
        <v>46197.0</v>
      </c>
      <c r="U33" s="4" t="str">
        <f t="shared" si="2"/>
        <v>Out of Stock</v>
      </c>
    </row>
    <row r="34" ht="15.75" customHeight="1">
      <c r="A34" s="3" t="s">
        <v>143</v>
      </c>
      <c r="B34" s="3" t="s">
        <v>144</v>
      </c>
      <c r="C34" s="3" t="s">
        <v>114</v>
      </c>
      <c r="E34" s="3">
        <v>1700.0</v>
      </c>
      <c r="F34" s="3">
        <v>2500.0</v>
      </c>
      <c r="H34" s="4">
        <f t="shared" si="1"/>
        <v>-1700</v>
      </c>
      <c r="L34" s="3" t="s">
        <v>145</v>
      </c>
      <c r="T34" s="5">
        <v>46197.0</v>
      </c>
      <c r="U34" s="4" t="str">
        <f t="shared" si="2"/>
        <v>Out of Stock</v>
      </c>
    </row>
    <row r="35" ht="15.75" customHeight="1">
      <c r="A35" s="3" t="s">
        <v>146</v>
      </c>
      <c r="B35" s="3" t="s">
        <v>147</v>
      </c>
      <c r="C35" s="3" t="s">
        <v>73</v>
      </c>
      <c r="E35" s="3">
        <v>1300.0</v>
      </c>
      <c r="F35" s="3">
        <v>1900.0</v>
      </c>
      <c r="H35" s="4">
        <f t="shared" si="1"/>
        <v>-1300</v>
      </c>
      <c r="L35" s="3" t="s">
        <v>148</v>
      </c>
      <c r="T35" s="5">
        <v>46197.0</v>
      </c>
      <c r="U35" s="4" t="str">
        <f t="shared" si="2"/>
        <v>Out of Stock</v>
      </c>
    </row>
    <row r="36" ht="15.75" customHeight="1">
      <c r="A36" s="3" t="s">
        <v>149</v>
      </c>
      <c r="B36" s="3" t="s">
        <v>150</v>
      </c>
      <c r="C36" s="3" t="s">
        <v>151</v>
      </c>
      <c r="E36" s="3">
        <v>1000.0</v>
      </c>
      <c r="F36" s="3">
        <v>1550.0</v>
      </c>
      <c r="H36" s="4">
        <f t="shared" si="1"/>
        <v>-1000</v>
      </c>
      <c r="L36" s="3" t="s">
        <v>152</v>
      </c>
      <c r="T36" s="5">
        <v>46197.0</v>
      </c>
      <c r="U36" s="4" t="str">
        <f t="shared" si="2"/>
        <v>Out of Stock</v>
      </c>
    </row>
    <row r="37" ht="15.75" customHeight="1">
      <c r="A37" s="3" t="s">
        <v>153</v>
      </c>
      <c r="B37" s="3" t="s">
        <v>154</v>
      </c>
      <c r="C37" s="3" t="s">
        <v>73</v>
      </c>
      <c r="E37" s="3">
        <v>975.0</v>
      </c>
      <c r="F37" s="3">
        <v>1690.0</v>
      </c>
      <c r="G37" s="3">
        <v>1290.0</v>
      </c>
      <c r="H37" s="4">
        <f t="shared" si="1"/>
        <v>315</v>
      </c>
      <c r="L37" s="3" t="s">
        <v>155</v>
      </c>
      <c r="T37" s="5">
        <v>46197.0</v>
      </c>
      <c r="U37" s="4" t="str">
        <f t="shared" si="2"/>
        <v>Out of Stock</v>
      </c>
    </row>
    <row r="38" ht="15.75" customHeight="1">
      <c r="A38" s="3" t="s">
        <v>156</v>
      </c>
      <c r="B38" s="3" t="s">
        <v>157</v>
      </c>
      <c r="C38" s="3" t="s">
        <v>101</v>
      </c>
      <c r="E38" s="3">
        <v>900.0</v>
      </c>
      <c r="F38" s="3">
        <v>1690.0</v>
      </c>
      <c r="G38" s="3">
        <v>1290.0</v>
      </c>
      <c r="H38" s="4">
        <f t="shared" si="1"/>
        <v>390</v>
      </c>
      <c r="L38" s="3" t="s">
        <v>158</v>
      </c>
      <c r="M38" s="3" t="s">
        <v>159</v>
      </c>
      <c r="N38" s="3" t="s">
        <v>160</v>
      </c>
      <c r="O38" s="3" t="s">
        <v>161</v>
      </c>
      <c r="T38" s="5">
        <v>46197.0</v>
      </c>
      <c r="U38" s="4" t="str">
        <f t="shared" si="2"/>
        <v>Out of Stock</v>
      </c>
    </row>
    <row r="39" ht="15.75" customHeight="1">
      <c r="A39" s="3" t="s">
        <v>162</v>
      </c>
      <c r="B39" s="3" t="s">
        <v>163</v>
      </c>
      <c r="C39" s="3" t="s">
        <v>101</v>
      </c>
      <c r="E39" s="3">
        <v>1100.0</v>
      </c>
      <c r="F39" s="3">
        <v>1650.0</v>
      </c>
      <c r="H39" s="4">
        <f t="shared" si="1"/>
        <v>-1100</v>
      </c>
      <c r="L39" s="3" t="s">
        <v>164</v>
      </c>
      <c r="T39" s="5">
        <v>46197.0</v>
      </c>
      <c r="U39" s="4" t="str">
        <f t="shared" si="2"/>
        <v>Out of Stock</v>
      </c>
    </row>
    <row r="40" ht="15.75" customHeight="1">
      <c r="A40" s="3" t="s">
        <v>165</v>
      </c>
      <c r="B40" s="3" t="s">
        <v>166</v>
      </c>
      <c r="C40" s="3" t="s">
        <v>101</v>
      </c>
      <c r="E40" s="3">
        <v>1600.0</v>
      </c>
      <c r="F40" s="3">
        <v>2350.0</v>
      </c>
      <c r="H40" s="4">
        <f t="shared" si="1"/>
        <v>-1600</v>
      </c>
      <c r="L40" s="3" t="s">
        <v>167</v>
      </c>
      <c r="T40" s="5">
        <v>46197.0</v>
      </c>
      <c r="U40" s="4" t="str">
        <f t="shared" si="2"/>
        <v>Out of Stock</v>
      </c>
    </row>
    <row r="41" ht="15.75" customHeight="1">
      <c r="A41" s="3" t="s">
        <v>168</v>
      </c>
      <c r="B41" s="3" t="s">
        <v>169</v>
      </c>
      <c r="C41" s="3" t="s">
        <v>73</v>
      </c>
      <c r="E41" s="3">
        <v>500.0</v>
      </c>
      <c r="F41" s="3">
        <v>1300.0</v>
      </c>
      <c r="H41" s="4">
        <f t="shared" si="1"/>
        <v>-500</v>
      </c>
      <c r="L41" s="3" t="s">
        <v>170</v>
      </c>
      <c r="T41" s="5">
        <v>46197.0</v>
      </c>
      <c r="U41" s="4" t="str">
        <f t="shared" si="2"/>
        <v>Out of Stock</v>
      </c>
    </row>
    <row r="42" ht="15.75" customHeight="1">
      <c r="A42" s="3" t="s">
        <v>171</v>
      </c>
      <c r="B42" s="3" t="s">
        <v>172</v>
      </c>
      <c r="C42" s="3" t="s">
        <v>77</v>
      </c>
      <c r="E42" s="3">
        <v>550.0</v>
      </c>
      <c r="F42" s="3">
        <v>1360.0</v>
      </c>
      <c r="H42" s="4">
        <f t="shared" si="1"/>
        <v>-550</v>
      </c>
      <c r="L42" s="3" t="s">
        <v>173</v>
      </c>
      <c r="T42" s="5">
        <v>46197.0</v>
      </c>
      <c r="U42" s="4" t="str">
        <f t="shared" si="2"/>
        <v>Out of Stock</v>
      </c>
    </row>
    <row r="43" ht="15.75" customHeight="1">
      <c r="A43" s="3" t="s">
        <v>174</v>
      </c>
      <c r="B43" s="3" t="s">
        <v>175</v>
      </c>
      <c r="C43" s="3" t="s">
        <v>176</v>
      </c>
      <c r="E43" s="3">
        <v>1500.0</v>
      </c>
      <c r="F43" s="3">
        <v>2260.0</v>
      </c>
      <c r="H43" s="4">
        <f t="shared" si="1"/>
        <v>-1500</v>
      </c>
      <c r="L43" s="3" t="s">
        <v>177</v>
      </c>
      <c r="T43" s="5">
        <v>46197.0</v>
      </c>
      <c r="U43" s="4" t="str">
        <f t="shared" si="2"/>
        <v>Out of Stock</v>
      </c>
    </row>
    <row r="44" ht="15.75" customHeight="1">
      <c r="A44" s="3" t="s">
        <v>178</v>
      </c>
      <c r="B44" s="3" t="s">
        <v>179</v>
      </c>
      <c r="C44" s="3" t="s">
        <v>180</v>
      </c>
      <c r="E44" s="3">
        <v>950.0</v>
      </c>
      <c r="F44" s="3">
        <v>1560.0</v>
      </c>
      <c r="H44" s="4">
        <f t="shared" si="1"/>
        <v>-950</v>
      </c>
      <c r="L44" s="3" t="s">
        <v>181</v>
      </c>
      <c r="T44" s="5">
        <v>46197.0</v>
      </c>
      <c r="U44" s="4" t="str">
        <f t="shared" si="2"/>
        <v>Out of Stock</v>
      </c>
    </row>
    <row r="45" ht="15.75" customHeight="1">
      <c r="A45" s="3" t="s">
        <v>182</v>
      </c>
      <c r="B45" s="3" t="s">
        <v>183</v>
      </c>
      <c r="C45" s="3" t="s">
        <v>180</v>
      </c>
      <c r="E45" s="3">
        <v>650.0</v>
      </c>
      <c r="F45" s="3">
        <v>1300.0</v>
      </c>
      <c r="H45" s="4">
        <f t="shared" si="1"/>
        <v>-650</v>
      </c>
      <c r="L45" s="3" t="s">
        <v>184</v>
      </c>
      <c r="T45" s="5">
        <v>46197.0</v>
      </c>
      <c r="U45" s="4" t="str">
        <f t="shared" si="2"/>
        <v>Out of Stock</v>
      </c>
    </row>
    <row r="46" ht="15.75" customHeight="1">
      <c r="A46" s="3" t="s">
        <v>185</v>
      </c>
      <c r="B46" s="3" t="s">
        <v>186</v>
      </c>
      <c r="C46" s="3" t="s">
        <v>23</v>
      </c>
      <c r="E46" s="3">
        <v>1850.0</v>
      </c>
      <c r="F46" s="3">
        <v>2650.0</v>
      </c>
      <c r="H46" s="4">
        <f t="shared" si="1"/>
        <v>-1850</v>
      </c>
      <c r="L46" s="3" t="s">
        <v>187</v>
      </c>
      <c r="M46" s="3" t="s">
        <v>188</v>
      </c>
      <c r="T46" s="5">
        <v>46197.0</v>
      </c>
      <c r="U46" s="4" t="str">
        <f t="shared" si="2"/>
        <v>Out of Stock</v>
      </c>
    </row>
    <row r="47" ht="15.75" customHeight="1">
      <c r="A47" s="3" t="s">
        <v>189</v>
      </c>
      <c r="B47" s="3" t="s">
        <v>190</v>
      </c>
      <c r="C47" s="3" t="s">
        <v>151</v>
      </c>
      <c r="E47" s="3">
        <v>550.0</v>
      </c>
      <c r="F47" s="3">
        <v>1200.0</v>
      </c>
      <c r="G47" s="3">
        <v>990.0</v>
      </c>
      <c r="H47" s="4">
        <f t="shared" si="1"/>
        <v>440</v>
      </c>
      <c r="L47" s="3" t="s">
        <v>191</v>
      </c>
      <c r="M47" s="3" t="s">
        <v>192</v>
      </c>
      <c r="T47" s="5">
        <v>46197.0</v>
      </c>
      <c r="U47" s="4" t="str">
        <f t="shared" si="2"/>
        <v>Out of Stock</v>
      </c>
    </row>
    <row r="48" ht="15.75" customHeight="1">
      <c r="A48" s="3" t="s">
        <v>193</v>
      </c>
      <c r="B48" s="3" t="s">
        <v>194</v>
      </c>
      <c r="C48" s="3" t="s">
        <v>180</v>
      </c>
      <c r="E48" s="3">
        <v>1900.0</v>
      </c>
      <c r="F48" s="3">
        <v>2850.0</v>
      </c>
      <c r="G48" s="3">
        <v>2650.0</v>
      </c>
      <c r="H48" s="4">
        <f t="shared" si="1"/>
        <v>750</v>
      </c>
      <c r="L48" s="3" t="s">
        <v>195</v>
      </c>
      <c r="T48" s="5">
        <v>46197.0</v>
      </c>
      <c r="U48" s="4" t="str">
        <f t="shared" si="2"/>
        <v>Out of Stock</v>
      </c>
    </row>
    <row r="49" ht="15.75" customHeight="1">
      <c r="A49" s="3" t="s">
        <v>196</v>
      </c>
      <c r="B49" s="3" t="s">
        <v>197</v>
      </c>
      <c r="C49" s="3" t="s">
        <v>151</v>
      </c>
      <c r="E49" s="3">
        <v>800.0</v>
      </c>
      <c r="F49" s="3">
        <v>1600.0</v>
      </c>
      <c r="H49" s="4">
        <f t="shared" si="1"/>
        <v>-800</v>
      </c>
      <c r="L49" s="3" t="s">
        <v>198</v>
      </c>
      <c r="T49" s="5">
        <v>46197.0</v>
      </c>
      <c r="U49" s="4" t="str">
        <f t="shared" si="2"/>
        <v>Out of Stock</v>
      </c>
    </row>
    <row r="50" ht="15.75" customHeight="1">
      <c r="A50" s="3" t="s">
        <v>199</v>
      </c>
      <c r="B50" s="3" t="s">
        <v>200</v>
      </c>
      <c r="C50" s="3" t="s">
        <v>101</v>
      </c>
      <c r="E50" s="3">
        <v>875.0</v>
      </c>
      <c r="F50" s="3">
        <v>1650.0</v>
      </c>
      <c r="H50" s="4">
        <f t="shared" si="1"/>
        <v>-875</v>
      </c>
      <c r="L50" s="3" t="s">
        <v>201</v>
      </c>
      <c r="T50" s="5">
        <v>46197.0</v>
      </c>
      <c r="U50" s="4" t="str">
        <f t="shared" si="2"/>
        <v>Out of Stock</v>
      </c>
    </row>
    <row r="51" ht="15.75" customHeight="1">
      <c r="A51" s="3" t="s">
        <v>202</v>
      </c>
      <c r="B51" s="3" t="s">
        <v>203</v>
      </c>
      <c r="C51" s="3" t="s">
        <v>180</v>
      </c>
      <c r="E51" s="3">
        <v>550.0</v>
      </c>
      <c r="F51" s="3">
        <v>1200.0</v>
      </c>
      <c r="H51" s="4">
        <f t="shared" si="1"/>
        <v>-550</v>
      </c>
      <c r="L51" s="3" t="s">
        <v>204</v>
      </c>
      <c r="T51" s="5">
        <v>46197.0</v>
      </c>
      <c r="U51" s="4" t="str">
        <f t="shared" si="2"/>
        <v>Out of Stock</v>
      </c>
    </row>
    <row r="52" ht="15.75" customHeight="1">
      <c r="A52" s="3" t="s">
        <v>205</v>
      </c>
      <c r="B52" s="3" t="s">
        <v>206</v>
      </c>
      <c r="C52" s="3" t="s">
        <v>73</v>
      </c>
      <c r="E52" s="3">
        <v>850.0</v>
      </c>
      <c r="F52" s="3">
        <v>1600.0</v>
      </c>
      <c r="H52" s="4">
        <f t="shared" si="1"/>
        <v>-850</v>
      </c>
      <c r="L52" s="3" t="s">
        <v>207</v>
      </c>
      <c r="T52" s="5">
        <v>46197.0</v>
      </c>
      <c r="U52" s="4" t="str">
        <f t="shared" si="2"/>
        <v>Out of Stock</v>
      </c>
    </row>
    <row r="53" ht="15.75" customHeight="1">
      <c r="A53" s="3" t="s">
        <v>208</v>
      </c>
      <c r="B53" s="3" t="s">
        <v>209</v>
      </c>
      <c r="C53" s="3" t="s">
        <v>180</v>
      </c>
      <c r="E53" s="3">
        <v>875.0</v>
      </c>
      <c r="F53" s="3">
        <v>1650.0</v>
      </c>
      <c r="H53" s="4">
        <f t="shared" si="1"/>
        <v>-875</v>
      </c>
      <c r="L53" s="3" t="s">
        <v>210</v>
      </c>
      <c r="T53" s="5">
        <v>46197.0</v>
      </c>
      <c r="U53" s="4" t="str">
        <f t="shared" si="2"/>
        <v>Out of Stock</v>
      </c>
    </row>
    <row r="54" ht="15.75" customHeight="1">
      <c r="A54" s="3" t="s">
        <v>211</v>
      </c>
      <c r="B54" s="3" t="s">
        <v>212</v>
      </c>
      <c r="C54" s="3" t="s">
        <v>180</v>
      </c>
      <c r="E54" s="3">
        <v>550.0</v>
      </c>
      <c r="F54" s="3">
        <v>1300.0</v>
      </c>
      <c r="H54" s="4">
        <f t="shared" si="1"/>
        <v>-550</v>
      </c>
      <c r="L54" s="3" t="s">
        <v>213</v>
      </c>
      <c r="T54" s="5">
        <v>46197.0</v>
      </c>
      <c r="U54" s="4" t="str">
        <f t="shared" si="2"/>
        <v>Out of Stock</v>
      </c>
    </row>
    <row r="55" ht="15.75" customHeight="1">
      <c r="A55" s="3" t="s">
        <v>214</v>
      </c>
      <c r="B55" s="3" t="s">
        <v>215</v>
      </c>
      <c r="C55" s="3" t="s">
        <v>180</v>
      </c>
      <c r="E55" s="3">
        <v>310.0</v>
      </c>
      <c r="F55" s="3">
        <v>850.0</v>
      </c>
      <c r="H55" s="4">
        <f t="shared" si="1"/>
        <v>-310</v>
      </c>
      <c r="L55" s="3" t="s">
        <v>216</v>
      </c>
      <c r="T55" s="5">
        <v>46197.0</v>
      </c>
      <c r="U55" s="4" t="str">
        <f t="shared" si="2"/>
        <v>Out of Stock</v>
      </c>
    </row>
    <row r="56" ht="15.75" customHeight="1">
      <c r="A56" s="3" t="s">
        <v>217</v>
      </c>
      <c r="B56" s="3" t="s">
        <v>218</v>
      </c>
      <c r="C56" s="3" t="s">
        <v>151</v>
      </c>
      <c r="E56" s="3">
        <v>900.0</v>
      </c>
      <c r="F56" s="3">
        <v>1600.0</v>
      </c>
      <c r="H56" s="4">
        <f t="shared" si="1"/>
        <v>-900</v>
      </c>
      <c r="L56" s="3" t="s">
        <v>219</v>
      </c>
      <c r="M56" s="3" t="s">
        <v>220</v>
      </c>
      <c r="N56" s="3" t="s">
        <v>221</v>
      </c>
      <c r="T56" s="5">
        <v>46197.0</v>
      </c>
      <c r="U56" s="4" t="str">
        <f t="shared" si="2"/>
        <v>Out of Stock</v>
      </c>
    </row>
    <row r="57" ht="15.75" customHeight="1">
      <c r="A57" s="3" t="s">
        <v>222</v>
      </c>
      <c r="B57" s="3" t="s">
        <v>223</v>
      </c>
      <c r="C57" s="3" t="s">
        <v>176</v>
      </c>
      <c r="E57" s="3">
        <v>875.0</v>
      </c>
      <c r="F57" s="3">
        <v>1690.0</v>
      </c>
      <c r="G57" s="3">
        <v>1590.0</v>
      </c>
      <c r="H57" s="4">
        <f t="shared" si="1"/>
        <v>715</v>
      </c>
      <c r="L57" s="3" t="s">
        <v>224</v>
      </c>
      <c r="T57" s="5">
        <v>46197.0</v>
      </c>
      <c r="U57" s="4" t="str">
        <f t="shared" si="2"/>
        <v>Out of Stock</v>
      </c>
    </row>
    <row r="58" ht="15.75" customHeight="1">
      <c r="A58" s="3" t="s">
        <v>225</v>
      </c>
      <c r="B58" s="3" t="s">
        <v>226</v>
      </c>
      <c r="C58" s="3" t="s">
        <v>23</v>
      </c>
      <c r="E58" s="3">
        <v>1150.0</v>
      </c>
      <c r="F58" s="3">
        <v>1650.0</v>
      </c>
      <c r="G58" s="3">
        <v>1350.0</v>
      </c>
      <c r="H58" s="4">
        <f t="shared" si="1"/>
        <v>200</v>
      </c>
      <c r="L58" s="3" t="s">
        <v>227</v>
      </c>
      <c r="M58" s="3" t="s">
        <v>228</v>
      </c>
      <c r="T58" s="5">
        <v>46197.0</v>
      </c>
      <c r="U58" s="4" t="str">
        <f t="shared" si="2"/>
        <v>Out of Stock</v>
      </c>
    </row>
    <row r="59" ht="15.75" customHeight="1">
      <c r="A59" s="3" t="s">
        <v>229</v>
      </c>
      <c r="B59" s="3" t="s">
        <v>230</v>
      </c>
      <c r="C59" s="3" t="s">
        <v>231</v>
      </c>
      <c r="E59" s="3">
        <v>750.0</v>
      </c>
      <c r="F59" s="3">
        <v>1450.0</v>
      </c>
      <c r="H59" s="4">
        <f t="shared" si="1"/>
        <v>-750</v>
      </c>
      <c r="L59" s="3" t="s">
        <v>232</v>
      </c>
      <c r="T59" s="5">
        <v>46197.0</v>
      </c>
      <c r="U59" s="4" t="str">
        <f t="shared" si="2"/>
        <v>Out of Stock</v>
      </c>
    </row>
    <row r="60" ht="15.75" customHeight="1">
      <c r="A60" s="3" t="s">
        <v>233</v>
      </c>
      <c r="B60" s="3" t="s">
        <v>234</v>
      </c>
      <c r="C60" s="3" t="s">
        <v>180</v>
      </c>
      <c r="E60" s="3">
        <v>925.0</v>
      </c>
      <c r="F60" s="3">
        <v>1600.0</v>
      </c>
      <c r="H60" s="4">
        <f t="shared" si="1"/>
        <v>-925</v>
      </c>
      <c r="L60" s="3" t="s">
        <v>235</v>
      </c>
      <c r="T60" s="5">
        <v>46197.0</v>
      </c>
      <c r="U60" s="4" t="str">
        <f t="shared" si="2"/>
        <v>Out of Stock</v>
      </c>
    </row>
    <row r="61" ht="15.75" customHeight="1">
      <c r="A61" s="3" t="s">
        <v>236</v>
      </c>
      <c r="B61" s="3" t="s">
        <v>237</v>
      </c>
      <c r="C61" s="3" t="s">
        <v>73</v>
      </c>
      <c r="E61" s="3">
        <v>1600.0</v>
      </c>
      <c r="F61" s="3">
        <v>2400.0</v>
      </c>
      <c r="H61" s="4">
        <f t="shared" si="1"/>
        <v>-1600</v>
      </c>
      <c r="L61" s="3" t="s">
        <v>238</v>
      </c>
      <c r="T61" s="5">
        <v>46197.0</v>
      </c>
      <c r="U61" s="4" t="str">
        <f t="shared" si="2"/>
        <v>Out of Stock</v>
      </c>
    </row>
    <row r="62" ht="15.75" customHeight="1">
      <c r="A62" s="3" t="s">
        <v>239</v>
      </c>
      <c r="B62" s="3" t="s">
        <v>240</v>
      </c>
      <c r="C62" s="3" t="s">
        <v>241</v>
      </c>
      <c r="E62" s="3">
        <v>450.0</v>
      </c>
      <c r="F62" s="3">
        <v>1000.0</v>
      </c>
      <c r="H62" s="4">
        <f t="shared" si="1"/>
        <v>-450</v>
      </c>
      <c r="L62" s="3" t="s">
        <v>242</v>
      </c>
      <c r="T62" s="5">
        <v>46197.0</v>
      </c>
      <c r="U62" s="4" t="str">
        <f t="shared" si="2"/>
        <v>Out of Stock</v>
      </c>
    </row>
    <row r="63" ht="15.75" customHeight="1">
      <c r="A63" s="3" t="s">
        <v>243</v>
      </c>
      <c r="B63" s="3" t="s">
        <v>244</v>
      </c>
      <c r="C63" s="3" t="s">
        <v>73</v>
      </c>
      <c r="E63" s="3">
        <v>1550.0</v>
      </c>
      <c r="F63" s="3">
        <v>2360.0</v>
      </c>
      <c r="G63" s="3">
        <v>1990.0</v>
      </c>
      <c r="H63" s="4">
        <f t="shared" si="1"/>
        <v>440</v>
      </c>
      <c r="L63" s="3" t="s">
        <v>245</v>
      </c>
      <c r="T63" s="5">
        <v>46197.0</v>
      </c>
      <c r="U63" s="4" t="str">
        <f t="shared" si="2"/>
        <v>Out of Stock</v>
      </c>
    </row>
    <row r="64" ht="15.75" customHeight="1">
      <c r="A64" s="3" t="s">
        <v>246</v>
      </c>
      <c r="B64" s="3" t="s">
        <v>247</v>
      </c>
      <c r="C64" s="3" t="s">
        <v>180</v>
      </c>
      <c r="E64" s="3">
        <v>1300.0</v>
      </c>
      <c r="F64" s="3">
        <v>1860.0</v>
      </c>
      <c r="H64" s="4">
        <f t="shared" si="1"/>
        <v>-1300</v>
      </c>
      <c r="L64" s="3" t="s">
        <v>248</v>
      </c>
      <c r="T64" s="5">
        <v>46197.0</v>
      </c>
      <c r="U64" s="4" t="str">
        <f t="shared" si="2"/>
        <v>Out of Stock</v>
      </c>
    </row>
    <row r="65" ht="15.75" customHeight="1">
      <c r="A65" s="3" t="s">
        <v>249</v>
      </c>
      <c r="B65" s="3" t="s">
        <v>250</v>
      </c>
      <c r="C65" s="3" t="s">
        <v>73</v>
      </c>
      <c r="E65" s="3">
        <v>450.0</v>
      </c>
      <c r="F65" s="3">
        <v>1000.0</v>
      </c>
      <c r="H65" s="4">
        <f t="shared" si="1"/>
        <v>-450</v>
      </c>
      <c r="L65" s="3" t="s">
        <v>251</v>
      </c>
      <c r="T65" s="5">
        <v>46197.0</v>
      </c>
      <c r="U65" s="4" t="str">
        <f t="shared" si="2"/>
        <v>Out of Stock</v>
      </c>
    </row>
    <row r="66" ht="15.75" customHeight="1">
      <c r="A66" s="3" t="s">
        <v>252</v>
      </c>
      <c r="B66" s="3" t="s">
        <v>253</v>
      </c>
      <c r="C66" s="3" t="s">
        <v>231</v>
      </c>
      <c r="E66" s="3">
        <v>600.0</v>
      </c>
      <c r="F66" s="3">
        <v>1400.0</v>
      </c>
      <c r="H66" s="4">
        <f t="shared" si="1"/>
        <v>-600</v>
      </c>
      <c r="L66" s="3" t="s">
        <v>254</v>
      </c>
      <c r="T66" s="5">
        <v>46197.0</v>
      </c>
      <c r="U66" s="4" t="str">
        <f t="shared" si="2"/>
        <v>Out of Stock</v>
      </c>
    </row>
    <row r="67" ht="15.75" customHeight="1">
      <c r="A67" s="3" t="s">
        <v>255</v>
      </c>
      <c r="B67" s="3" t="s">
        <v>256</v>
      </c>
      <c r="C67" s="3" t="s">
        <v>73</v>
      </c>
      <c r="E67" s="3">
        <v>450.0</v>
      </c>
      <c r="F67" s="3">
        <v>1000.0</v>
      </c>
      <c r="H67" s="4">
        <f t="shared" si="1"/>
        <v>-450</v>
      </c>
      <c r="L67" s="3" t="s">
        <v>257</v>
      </c>
      <c r="T67" s="5">
        <v>46197.0</v>
      </c>
      <c r="U67" s="4" t="str">
        <f t="shared" si="2"/>
        <v>Out of Stock</v>
      </c>
    </row>
    <row r="68" ht="15.75" customHeight="1">
      <c r="A68" s="3" t="s">
        <v>258</v>
      </c>
      <c r="B68" s="3" t="s">
        <v>259</v>
      </c>
      <c r="C68" s="3" t="s">
        <v>91</v>
      </c>
      <c r="E68" s="3">
        <v>1450.0</v>
      </c>
      <c r="F68" s="3">
        <v>2000.0</v>
      </c>
      <c r="H68" s="4">
        <f t="shared" si="1"/>
        <v>-1450</v>
      </c>
      <c r="L68" s="3" t="s">
        <v>260</v>
      </c>
      <c r="T68" s="5">
        <v>46197.0</v>
      </c>
      <c r="U68" s="4" t="str">
        <f t="shared" si="2"/>
        <v>Out of Stock</v>
      </c>
    </row>
    <row r="69" ht="15.75" customHeight="1">
      <c r="A69" s="3" t="s">
        <v>261</v>
      </c>
      <c r="B69" s="3" t="s">
        <v>262</v>
      </c>
      <c r="C69" s="3" t="s">
        <v>180</v>
      </c>
      <c r="E69" s="3">
        <v>400.0</v>
      </c>
      <c r="F69" s="3">
        <v>900.0</v>
      </c>
      <c r="G69" s="3">
        <v>790.0</v>
      </c>
      <c r="H69" s="4">
        <f t="shared" si="1"/>
        <v>390</v>
      </c>
      <c r="L69" s="3" t="s">
        <v>263</v>
      </c>
      <c r="M69" s="3" t="s">
        <v>264</v>
      </c>
      <c r="N69" s="3" t="s">
        <v>265</v>
      </c>
      <c r="O69" s="3" t="s">
        <v>266</v>
      </c>
      <c r="T69" s="5">
        <v>46197.0</v>
      </c>
      <c r="U69" s="4" t="str">
        <f t="shared" si="2"/>
        <v>Out of Stock</v>
      </c>
    </row>
    <row r="70" ht="15.75" customHeight="1">
      <c r="A70" s="3" t="s">
        <v>267</v>
      </c>
      <c r="B70" s="3" t="s">
        <v>268</v>
      </c>
      <c r="C70" s="3" t="s">
        <v>91</v>
      </c>
      <c r="E70" s="3">
        <v>1450.0</v>
      </c>
      <c r="F70" s="3">
        <v>2000.0</v>
      </c>
      <c r="H70" s="4">
        <f t="shared" si="1"/>
        <v>-1450</v>
      </c>
      <c r="L70" s="3" t="s">
        <v>269</v>
      </c>
      <c r="T70" s="5">
        <v>46197.0</v>
      </c>
      <c r="U70" s="4" t="str">
        <f t="shared" si="2"/>
        <v>Out of Stock</v>
      </c>
    </row>
    <row r="71" ht="15.75" customHeight="1">
      <c r="A71" s="3" t="s">
        <v>270</v>
      </c>
      <c r="B71" s="3" t="s">
        <v>271</v>
      </c>
      <c r="C71" s="3" t="s">
        <v>180</v>
      </c>
      <c r="E71" s="3">
        <v>400.0</v>
      </c>
      <c r="F71" s="3">
        <v>1000.0</v>
      </c>
      <c r="G71" s="3">
        <v>790.0</v>
      </c>
      <c r="H71" s="4">
        <f t="shared" si="1"/>
        <v>390</v>
      </c>
      <c r="L71" s="3" t="s">
        <v>272</v>
      </c>
      <c r="T71" s="5">
        <v>46197.0</v>
      </c>
      <c r="U71" s="4" t="str">
        <f t="shared" si="2"/>
        <v>Out of Stock</v>
      </c>
    </row>
    <row r="72" ht="15.75" customHeight="1">
      <c r="A72" s="3" t="s">
        <v>273</v>
      </c>
      <c r="B72" s="3" t="s">
        <v>274</v>
      </c>
      <c r="C72" s="3" t="s">
        <v>73</v>
      </c>
      <c r="E72" s="3">
        <v>1600.0</v>
      </c>
      <c r="F72" s="3">
        <v>2500.0</v>
      </c>
      <c r="H72" s="4">
        <f t="shared" si="1"/>
        <v>-1600</v>
      </c>
      <c r="L72" s="3" t="s">
        <v>275</v>
      </c>
      <c r="T72" s="5">
        <v>46197.0</v>
      </c>
      <c r="U72" s="4" t="str">
        <f t="shared" si="2"/>
        <v>Out of Stock</v>
      </c>
    </row>
    <row r="73" ht="15.75" customHeight="1">
      <c r="A73" s="3" t="s">
        <v>276</v>
      </c>
      <c r="B73" s="3" t="s">
        <v>277</v>
      </c>
      <c r="C73" s="3" t="s">
        <v>241</v>
      </c>
      <c r="E73" s="3">
        <v>600.0</v>
      </c>
      <c r="F73" s="3">
        <v>1200.0</v>
      </c>
      <c r="H73" s="4">
        <f t="shared" si="1"/>
        <v>-600</v>
      </c>
      <c r="L73" s="3" t="s">
        <v>278</v>
      </c>
      <c r="T73" s="5">
        <v>46197.0</v>
      </c>
      <c r="U73" s="4" t="str">
        <f t="shared" si="2"/>
        <v>Out of Stock</v>
      </c>
    </row>
    <row r="74" ht="15.75" customHeight="1">
      <c r="A74" s="3" t="s">
        <v>279</v>
      </c>
      <c r="B74" s="3" t="s">
        <v>280</v>
      </c>
      <c r="C74" s="3" t="s">
        <v>101</v>
      </c>
      <c r="E74" s="3">
        <v>600.0</v>
      </c>
      <c r="F74" s="3">
        <v>1300.0</v>
      </c>
      <c r="G74" s="3">
        <v>1100.0</v>
      </c>
      <c r="H74" s="4">
        <f t="shared" si="1"/>
        <v>500</v>
      </c>
      <c r="L74" s="3" t="s">
        <v>281</v>
      </c>
      <c r="T74" s="5">
        <v>46197.0</v>
      </c>
      <c r="U74" s="4" t="str">
        <f t="shared" si="2"/>
        <v>Out of Stock</v>
      </c>
    </row>
    <row r="75" ht="15.75" customHeight="1">
      <c r="A75" s="3" t="s">
        <v>282</v>
      </c>
      <c r="B75" s="3" t="s">
        <v>283</v>
      </c>
      <c r="C75" s="3" t="s">
        <v>114</v>
      </c>
      <c r="E75" s="3">
        <v>900.0</v>
      </c>
      <c r="F75" s="3">
        <v>1650.0</v>
      </c>
      <c r="H75" s="4">
        <f t="shared" si="1"/>
        <v>-900</v>
      </c>
      <c r="L75" s="3" t="s">
        <v>284</v>
      </c>
      <c r="T75" s="5">
        <v>46197.0</v>
      </c>
      <c r="U75" s="4" t="str">
        <f t="shared" si="2"/>
        <v>Out of Stock</v>
      </c>
    </row>
    <row r="76" ht="15.75" customHeight="1">
      <c r="A76" s="3" t="s">
        <v>285</v>
      </c>
      <c r="B76" s="3" t="s">
        <v>286</v>
      </c>
      <c r="C76" s="3" t="s">
        <v>151</v>
      </c>
      <c r="E76" s="3">
        <v>950.0</v>
      </c>
      <c r="F76" s="3">
        <v>1690.0</v>
      </c>
      <c r="H76" s="4">
        <f t="shared" si="1"/>
        <v>-950</v>
      </c>
      <c r="L76" s="3" t="s">
        <v>287</v>
      </c>
      <c r="T76" s="5">
        <v>46197.0</v>
      </c>
      <c r="U76" s="4" t="str">
        <f t="shared" si="2"/>
        <v>Out of Stock</v>
      </c>
    </row>
    <row r="77" ht="15.75" customHeight="1">
      <c r="A77" s="3" t="s">
        <v>288</v>
      </c>
      <c r="B77" s="3" t="s">
        <v>289</v>
      </c>
      <c r="C77" s="3" t="s">
        <v>151</v>
      </c>
      <c r="E77" s="3">
        <v>500.0</v>
      </c>
      <c r="F77" s="3">
        <v>1200.0</v>
      </c>
      <c r="H77" s="4">
        <f t="shared" si="1"/>
        <v>-500</v>
      </c>
      <c r="L77" s="3" t="s">
        <v>290</v>
      </c>
      <c r="T77" s="5">
        <v>46197.0</v>
      </c>
      <c r="U77" s="4" t="str">
        <f t="shared" si="2"/>
        <v>Out of Stock</v>
      </c>
    </row>
    <row r="78" ht="15.75" customHeight="1">
      <c r="A78" s="3" t="s">
        <v>291</v>
      </c>
      <c r="B78" s="3" t="s">
        <v>292</v>
      </c>
      <c r="C78" s="3" t="s">
        <v>101</v>
      </c>
      <c r="E78" s="3">
        <v>550.0</v>
      </c>
      <c r="F78" s="3">
        <v>1300.0</v>
      </c>
      <c r="H78" s="4">
        <f t="shared" si="1"/>
        <v>-550</v>
      </c>
      <c r="L78" s="3" t="s">
        <v>293</v>
      </c>
      <c r="T78" s="5">
        <v>46197.0</v>
      </c>
      <c r="U78" s="4" t="str">
        <f t="shared" si="2"/>
        <v>Out of Stock</v>
      </c>
    </row>
    <row r="79" ht="15.75" customHeight="1">
      <c r="A79" s="3" t="s">
        <v>294</v>
      </c>
      <c r="B79" s="3" t="s">
        <v>295</v>
      </c>
      <c r="C79" s="3" t="s">
        <v>101</v>
      </c>
      <c r="E79" s="3">
        <v>650.0</v>
      </c>
      <c r="F79" s="3">
        <v>1350.0</v>
      </c>
      <c r="H79" s="4">
        <f t="shared" si="1"/>
        <v>-650</v>
      </c>
      <c r="L79" s="3" t="s">
        <v>296</v>
      </c>
      <c r="T79" s="5">
        <v>46197.0</v>
      </c>
      <c r="U79" s="4" t="str">
        <f t="shared" si="2"/>
        <v>Out of Stock</v>
      </c>
    </row>
    <row r="80" ht="15.75" customHeight="1">
      <c r="A80" s="3" t="s">
        <v>297</v>
      </c>
      <c r="B80" s="3" t="s">
        <v>298</v>
      </c>
      <c r="C80" s="3" t="s">
        <v>299</v>
      </c>
      <c r="E80" s="3">
        <v>650.0</v>
      </c>
      <c r="F80" s="3">
        <v>1350.0</v>
      </c>
      <c r="H80" s="4">
        <f t="shared" si="1"/>
        <v>-650</v>
      </c>
      <c r="L80" s="3" t="s">
        <v>300</v>
      </c>
      <c r="T80" s="5">
        <v>46197.0</v>
      </c>
      <c r="U80" s="4" t="str">
        <f t="shared" si="2"/>
        <v>Out of Stock</v>
      </c>
    </row>
    <row r="81" ht="15.75" customHeight="1">
      <c r="A81" s="3" t="s">
        <v>301</v>
      </c>
      <c r="B81" s="3" t="s">
        <v>302</v>
      </c>
      <c r="C81" s="3" t="s">
        <v>73</v>
      </c>
      <c r="E81" s="3">
        <v>440.0</v>
      </c>
      <c r="F81" s="3">
        <v>1000.0</v>
      </c>
      <c r="H81" s="4">
        <f t="shared" si="1"/>
        <v>-440</v>
      </c>
      <c r="L81" s="3" t="s">
        <v>303</v>
      </c>
      <c r="T81" s="5">
        <v>46197.0</v>
      </c>
      <c r="U81" s="4" t="str">
        <f t="shared" si="2"/>
        <v>Out of Stock</v>
      </c>
    </row>
    <row r="82" ht="15.75" customHeight="1">
      <c r="A82" s="3" t="s">
        <v>304</v>
      </c>
      <c r="B82" s="3" t="s">
        <v>305</v>
      </c>
      <c r="C82" s="3" t="s">
        <v>73</v>
      </c>
      <c r="E82" s="3">
        <v>440.0</v>
      </c>
      <c r="F82" s="3">
        <v>1000.0</v>
      </c>
      <c r="H82" s="4">
        <f t="shared" si="1"/>
        <v>-440</v>
      </c>
      <c r="L82" s="3" t="s">
        <v>306</v>
      </c>
      <c r="T82" s="5">
        <v>46197.0</v>
      </c>
      <c r="U82" s="4" t="str">
        <f t="shared" si="2"/>
        <v>Out of Stock</v>
      </c>
    </row>
    <row r="83" ht="15.75" customHeight="1">
      <c r="A83" s="3" t="s">
        <v>307</v>
      </c>
      <c r="B83" s="3" t="s">
        <v>308</v>
      </c>
      <c r="C83" s="3" t="s">
        <v>180</v>
      </c>
      <c r="E83" s="3">
        <v>500.0</v>
      </c>
      <c r="F83" s="3">
        <v>1200.0</v>
      </c>
      <c r="H83" s="4">
        <f t="shared" si="1"/>
        <v>-500</v>
      </c>
      <c r="L83" s="3" t="s">
        <v>309</v>
      </c>
      <c r="T83" s="5">
        <v>46197.0</v>
      </c>
      <c r="U83" s="4" t="str">
        <f t="shared" si="2"/>
        <v>Out of Stock</v>
      </c>
    </row>
    <row r="84" ht="15.75" customHeight="1">
      <c r="A84" s="3" t="s">
        <v>310</v>
      </c>
      <c r="B84" s="3" t="s">
        <v>311</v>
      </c>
      <c r="C84" s="3" t="s">
        <v>241</v>
      </c>
      <c r="E84" s="3">
        <v>600.0</v>
      </c>
      <c r="F84" s="3">
        <v>1350.0</v>
      </c>
      <c r="H84" s="4">
        <f t="shared" si="1"/>
        <v>-600</v>
      </c>
      <c r="L84" s="3" t="s">
        <v>312</v>
      </c>
      <c r="T84" s="5">
        <v>46197.0</v>
      </c>
      <c r="U84" s="4" t="str">
        <f t="shared" si="2"/>
        <v>Out of Stock</v>
      </c>
    </row>
    <row r="85" ht="15.75" customHeight="1">
      <c r="A85" s="3" t="s">
        <v>313</v>
      </c>
      <c r="B85" s="3" t="s">
        <v>314</v>
      </c>
      <c r="C85" s="3" t="s">
        <v>23</v>
      </c>
      <c r="E85" s="3">
        <v>2200.0</v>
      </c>
      <c r="F85" s="3">
        <v>2660.0</v>
      </c>
      <c r="G85" s="3">
        <v>2490.0</v>
      </c>
      <c r="H85" s="4">
        <f t="shared" si="1"/>
        <v>290</v>
      </c>
      <c r="L85" s="3" t="s">
        <v>315</v>
      </c>
      <c r="M85" s="3" t="s">
        <v>316</v>
      </c>
      <c r="N85" s="3" t="s">
        <v>317</v>
      </c>
      <c r="O85" s="3" t="s">
        <v>318</v>
      </c>
      <c r="T85" s="5">
        <v>46197.0</v>
      </c>
      <c r="U85" s="4" t="str">
        <f t="shared" si="2"/>
        <v>Out of Stock</v>
      </c>
    </row>
    <row r="86" ht="15.75" customHeight="1">
      <c r="A86" s="3" t="s">
        <v>319</v>
      </c>
      <c r="B86" s="3" t="s">
        <v>320</v>
      </c>
      <c r="C86" s="3" t="s">
        <v>91</v>
      </c>
      <c r="E86" s="3">
        <v>525.0</v>
      </c>
      <c r="F86" s="3">
        <v>1260.0</v>
      </c>
      <c r="H86" s="4">
        <f t="shared" si="1"/>
        <v>-525</v>
      </c>
      <c r="L86" s="3" t="s">
        <v>321</v>
      </c>
      <c r="T86" s="5">
        <v>46197.0</v>
      </c>
      <c r="U86" s="4" t="str">
        <f t="shared" si="2"/>
        <v>Out of Stock</v>
      </c>
    </row>
    <row r="87" ht="15.75" customHeight="1">
      <c r="A87" s="3" t="s">
        <v>322</v>
      </c>
      <c r="B87" s="3" t="s">
        <v>323</v>
      </c>
      <c r="C87" s="3" t="s">
        <v>101</v>
      </c>
      <c r="E87" s="3">
        <v>2150.0</v>
      </c>
      <c r="F87" s="3">
        <v>3050.0</v>
      </c>
      <c r="G87" s="3">
        <v>2590.0</v>
      </c>
      <c r="H87" s="4">
        <f t="shared" si="1"/>
        <v>440</v>
      </c>
      <c r="L87" s="3" t="s">
        <v>324</v>
      </c>
      <c r="T87" s="5">
        <v>46197.0</v>
      </c>
      <c r="U87" s="4" t="str">
        <f t="shared" si="2"/>
        <v>Out of Stock</v>
      </c>
    </row>
    <row r="88" ht="15.75" customHeight="1">
      <c r="A88" s="3" t="s">
        <v>325</v>
      </c>
      <c r="B88" s="3" t="s">
        <v>326</v>
      </c>
      <c r="C88" s="3" t="s">
        <v>73</v>
      </c>
      <c r="E88" s="3">
        <v>650.0</v>
      </c>
      <c r="F88" s="3">
        <v>1600.0</v>
      </c>
      <c r="H88" s="4">
        <f t="shared" si="1"/>
        <v>-650</v>
      </c>
      <c r="L88" s="3" t="s">
        <v>327</v>
      </c>
      <c r="M88" s="3" t="s">
        <v>328</v>
      </c>
      <c r="N88" s="3" t="s">
        <v>329</v>
      </c>
      <c r="Q88" s="3" t="s">
        <v>330</v>
      </c>
      <c r="T88" s="5">
        <v>46197.0</v>
      </c>
      <c r="U88" s="4" t="str">
        <f t="shared" si="2"/>
        <v>Out of Stock</v>
      </c>
    </row>
    <row r="89" ht="15.75" customHeight="1">
      <c r="A89" s="3" t="s">
        <v>331</v>
      </c>
      <c r="B89" s="3" t="s">
        <v>332</v>
      </c>
      <c r="C89" s="3" t="s">
        <v>180</v>
      </c>
      <c r="E89" s="3">
        <v>450.0</v>
      </c>
      <c r="F89" s="3">
        <v>1000.0</v>
      </c>
      <c r="H89" s="4">
        <f t="shared" si="1"/>
        <v>-450</v>
      </c>
      <c r="L89" s="3" t="s">
        <v>333</v>
      </c>
      <c r="M89" s="3" t="s">
        <v>334</v>
      </c>
      <c r="N89" s="3" t="s">
        <v>335</v>
      </c>
      <c r="O89" s="3" t="s">
        <v>336</v>
      </c>
      <c r="T89" s="5">
        <v>46197.0</v>
      </c>
      <c r="U89" s="4" t="str">
        <f t="shared" si="2"/>
        <v>Out of Stock</v>
      </c>
    </row>
    <row r="90" ht="15.75" customHeight="1">
      <c r="A90" s="3" t="s">
        <v>337</v>
      </c>
      <c r="B90" s="3" t="s">
        <v>338</v>
      </c>
      <c r="C90" s="3" t="s">
        <v>73</v>
      </c>
      <c r="E90" s="3">
        <v>3300.0</v>
      </c>
      <c r="F90" s="3">
        <v>3900.0</v>
      </c>
      <c r="H90" s="4">
        <f t="shared" si="1"/>
        <v>-3300</v>
      </c>
      <c r="L90" s="3" t="s">
        <v>339</v>
      </c>
      <c r="T90" s="5">
        <v>46197.0</v>
      </c>
      <c r="U90" s="4" t="str">
        <f t="shared" si="2"/>
        <v>Out of Stock</v>
      </c>
    </row>
    <row r="91" ht="15.75" customHeight="1">
      <c r="A91" s="3" t="s">
        <v>340</v>
      </c>
      <c r="B91" s="3" t="s">
        <v>341</v>
      </c>
      <c r="C91" s="3" t="s">
        <v>23</v>
      </c>
      <c r="E91" s="3">
        <v>990.0</v>
      </c>
      <c r="F91" s="3">
        <v>1690.0</v>
      </c>
      <c r="G91" s="3">
        <v>1390.0</v>
      </c>
      <c r="H91" s="4">
        <f t="shared" si="1"/>
        <v>400</v>
      </c>
      <c r="L91" s="3" t="s">
        <v>342</v>
      </c>
      <c r="T91" s="5">
        <v>46197.0</v>
      </c>
      <c r="U91" s="4" t="str">
        <f t="shared" si="2"/>
        <v>Out of Stock</v>
      </c>
    </row>
    <row r="92" ht="15.75" customHeight="1">
      <c r="A92" s="3" t="s">
        <v>343</v>
      </c>
      <c r="B92" s="3" t="s">
        <v>344</v>
      </c>
      <c r="C92" s="3" t="s">
        <v>73</v>
      </c>
      <c r="E92" s="3">
        <v>825.0</v>
      </c>
      <c r="F92" s="3">
        <v>1600.0</v>
      </c>
      <c r="H92" s="4">
        <f t="shared" si="1"/>
        <v>-825</v>
      </c>
      <c r="L92" s="3" t="s">
        <v>345</v>
      </c>
      <c r="T92" s="5">
        <v>46197.0</v>
      </c>
      <c r="U92" s="4" t="str">
        <f t="shared" si="2"/>
        <v>Out of Stock</v>
      </c>
    </row>
    <row r="93" ht="15.75" customHeight="1">
      <c r="A93" s="3" t="s">
        <v>346</v>
      </c>
      <c r="B93" s="3" t="s">
        <v>347</v>
      </c>
      <c r="C93" s="3" t="s">
        <v>299</v>
      </c>
      <c r="E93" s="3">
        <v>2100.0</v>
      </c>
      <c r="F93" s="3">
        <v>2550.0</v>
      </c>
      <c r="G93" s="3">
        <v>2290.0</v>
      </c>
      <c r="H93" s="4">
        <f t="shared" si="1"/>
        <v>190</v>
      </c>
      <c r="L93" s="3" t="s">
        <v>348</v>
      </c>
      <c r="T93" s="5">
        <v>46197.0</v>
      </c>
      <c r="U93" s="4" t="str">
        <f t="shared" si="2"/>
        <v>Out of Stock</v>
      </c>
    </row>
    <row r="94" ht="15.75" customHeight="1">
      <c r="A94" s="3" t="s">
        <v>349</v>
      </c>
      <c r="B94" s="3" t="s">
        <v>350</v>
      </c>
      <c r="C94" s="3" t="s">
        <v>73</v>
      </c>
      <c r="E94" s="3">
        <v>2200.0</v>
      </c>
      <c r="F94" s="3">
        <v>2650.0</v>
      </c>
      <c r="H94" s="4">
        <f t="shared" si="1"/>
        <v>-2200</v>
      </c>
      <c r="L94" s="3" t="s">
        <v>351</v>
      </c>
      <c r="T94" s="5">
        <v>46197.0</v>
      </c>
      <c r="U94" s="4" t="str">
        <f t="shared" si="2"/>
        <v>Out of Stock</v>
      </c>
    </row>
    <row r="95" ht="15.75" customHeight="1">
      <c r="A95" s="3" t="s">
        <v>352</v>
      </c>
      <c r="B95" s="3" t="s">
        <v>353</v>
      </c>
      <c r="C95" s="3" t="s">
        <v>354</v>
      </c>
      <c r="E95" s="3">
        <v>2900.0</v>
      </c>
      <c r="F95" s="3">
        <v>3650.0</v>
      </c>
      <c r="H95" s="4">
        <f t="shared" si="1"/>
        <v>-2900</v>
      </c>
      <c r="L95" s="3" t="s">
        <v>355</v>
      </c>
      <c r="T95" s="5">
        <v>46197.0</v>
      </c>
      <c r="U95" s="4" t="str">
        <f t="shared" si="2"/>
        <v>Out of Stock</v>
      </c>
    </row>
    <row r="96" ht="15.75" customHeight="1">
      <c r="A96" s="3" t="s">
        <v>356</v>
      </c>
      <c r="B96" s="3" t="s">
        <v>357</v>
      </c>
      <c r="C96" s="3" t="s">
        <v>151</v>
      </c>
      <c r="E96" s="3">
        <v>1250.0</v>
      </c>
      <c r="F96" s="3">
        <v>1800.0</v>
      </c>
      <c r="H96" s="4">
        <f t="shared" si="1"/>
        <v>-1250</v>
      </c>
      <c r="L96" s="3" t="s">
        <v>358</v>
      </c>
      <c r="M96" s="3" t="s">
        <v>359</v>
      </c>
      <c r="N96" s="3" t="s">
        <v>360</v>
      </c>
      <c r="O96" s="3" t="s">
        <v>361</v>
      </c>
      <c r="T96" s="5">
        <v>46197.0</v>
      </c>
      <c r="U96" s="4" t="str">
        <f t="shared" si="2"/>
        <v>Out of Stock</v>
      </c>
    </row>
    <row r="97" ht="15.75" customHeight="1">
      <c r="A97" s="3" t="s">
        <v>362</v>
      </c>
      <c r="B97" s="3" t="s">
        <v>363</v>
      </c>
      <c r="C97" s="3" t="s">
        <v>23</v>
      </c>
      <c r="E97" s="3">
        <v>1900.0</v>
      </c>
      <c r="F97" s="3">
        <v>2650.0</v>
      </c>
      <c r="G97" s="3">
        <v>2390.0</v>
      </c>
      <c r="H97" s="4">
        <f t="shared" si="1"/>
        <v>490</v>
      </c>
      <c r="L97" s="3" t="s">
        <v>364</v>
      </c>
      <c r="T97" s="5">
        <v>46197.0</v>
      </c>
      <c r="U97" s="4" t="str">
        <f t="shared" si="2"/>
        <v>Out of Stock</v>
      </c>
    </row>
    <row r="98" ht="15.75" customHeight="1">
      <c r="A98" s="3" t="s">
        <v>365</v>
      </c>
      <c r="B98" s="3" t="s">
        <v>366</v>
      </c>
      <c r="C98" s="3" t="s">
        <v>23</v>
      </c>
      <c r="E98" s="3">
        <v>875.0</v>
      </c>
      <c r="F98" s="3">
        <v>1690.0</v>
      </c>
      <c r="G98" s="3">
        <v>1190.0</v>
      </c>
      <c r="H98" s="4">
        <f t="shared" si="1"/>
        <v>315</v>
      </c>
      <c r="L98" s="3" t="s">
        <v>367</v>
      </c>
      <c r="T98" s="5">
        <v>46197.0</v>
      </c>
      <c r="U98" s="4" t="str">
        <f t="shared" si="2"/>
        <v>Out of Stock</v>
      </c>
    </row>
    <row r="99" ht="15.75" customHeight="1">
      <c r="A99" s="3" t="s">
        <v>368</v>
      </c>
      <c r="B99" s="3" t="s">
        <v>369</v>
      </c>
      <c r="C99" s="3" t="s">
        <v>299</v>
      </c>
      <c r="E99" s="3">
        <v>800.0</v>
      </c>
      <c r="F99" s="3">
        <v>1650.0</v>
      </c>
      <c r="H99" s="4">
        <f t="shared" si="1"/>
        <v>-800</v>
      </c>
      <c r="L99" s="3" t="s">
        <v>370</v>
      </c>
      <c r="M99" s="3" t="s">
        <v>371</v>
      </c>
      <c r="N99" s="3" t="s">
        <v>372</v>
      </c>
      <c r="O99" s="3" t="s">
        <v>373</v>
      </c>
      <c r="T99" s="5">
        <v>46197.0</v>
      </c>
      <c r="U99" s="4" t="str">
        <f t="shared" si="2"/>
        <v>Out of Stock</v>
      </c>
    </row>
    <row r="100" ht="15.75" customHeight="1">
      <c r="A100" s="3" t="s">
        <v>374</v>
      </c>
      <c r="B100" s="3" t="s">
        <v>375</v>
      </c>
      <c r="C100" s="3" t="s">
        <v>23</v>
      </c>
      <c r="E100" s="3">
        <v>450.0</v>
      </c>
      <c r="F100" s="3">
        <v>1000.0</v>
      </c>
      <c r="G100" s="3">
        <v>750.0</v>
      </c>
      <c r="H100" s="4">
        <f t="shared" si="1"/>
        <v>300</v>
      </c>
      <c r="L100" s="3" t="s">
        <v>376</v>
      </c>
      <c r="T100" s="5">
        <v>46197.0</v>
      </c>
      <c r="U100" s="4" t="str">
        <f t="shared" si="2"/>
        <v>Out of Stock</v>
      </c>
    </row>
    <row r="101" ht="15.75" customHeight="1">
      <c r="A101" s="3" t="s">
        <v>377</v>
      </c>
      <c r="B101" s="3" t="s">
        <v>378</v>
      </c>
      <c r="C101" s="3" t="s">
        <v>299</v>
      </c>
      <c r="E101" s="3">
        <v>825.0</v>
      </c>
      <c r="F101" s="3">
        <v>1650.0</v>
      </c>
      <c r="G101" s="3">
        <v>1250.0</v>
      </c>
      <c r="H101" s="4">
        <f t="shared" si="1"/>
        <v>425</v>
      </c>
      <c r="L101" s="3" t="s">
        <v>379</v>
      </c>
      <c r="M101" s="3" t="s">
        <v>380</v>
      </c>
      <c r="N101" s="3" t="s">
        <v>381</v>
      </c>
      <c r="O101" s="3" t="s">
        <v>382</v>
      </c>
      <c r="T101" s="5">
        <v>46197.0</v>
      </c>
      <c r="U101" s="4" t="str">
        <f t="shared" si="2"/>
        <v>Out of Stock</v>
      </c>
    </row>
    <row r="102" ht="15.75" customHeight="1">
      <c r="A102" s="3" t="s">
        <v>383</v>
      </c>
      <c r="B102" s="3" t="s">
        <v>384</v>
      </c>
      <c r="C102" s="3" t="s">
        <v>91</v>
      </c>
      <c r="E102" s="3">
        <v>1000.0</v>
      </c>
      <c r="F102" s="3">
        <v>1550.0</v>
      </c>
      <c r="H102" s="4">
        <f t="shared" si="1"/>
        <v>-1000</v>
      </c>
      <c r="L102" s="3" t="s">
        <v>385</v>
      </c>
      <c r="T102" s="5">
        <v>46197.0</v>
      </c>
      <c r="U102" s="4" t="str">
        <f t="shared" si="2"/>
        <v>Out of Stock</v>
      </c>
    </row>
    <row r="103" ht="15.75" customHeight="1">
      <c r="A103" s="3" t="s">
        <v>386</v>
      </c>
      <c r="B103" s="3" t="s">
        <v>387</v>
      </c>
      <c r="C103" s="3" t="s">
        <v>23</v>
      </c>
      <c r="E103" s="3">
        <v>1250.0</v>
      </c>
      <c r="F103" s="3">
        <v>1670.0</v>
      </c>
      <c r="G103" s="3">
        <v>1450.0</v>
      </c>
      <c r="H103" s="4">
        <f t="shared" si="1"/>
        <v>200</v>
      </c>
      <c r="L103" s="3" t="s">
        <v>388</v>
      </c>
      <c r="T103" s="5">
        <v>46197.0</v>
      </c>
      <c r="U103" s="4" t="str">
        <f t="shared" si="2"/>
        <v>Out of Stock</v>
      </c>
    </row>
    <row r="104" ht="15.75" customHeight="1">
      <c r="A104" s="3" t="s">
        <v>389</v>
      </c>
      <c r="B104" s="3" t="s">
        <v>390</v>
      </c>
      <c r="C104" s="3" t="s">
        <v>101</v>
      </c>
      <c r="E104" s="3">
        <v>2750.0</v>
      </c>
      <c r="F104" s="3">
        <v>3600.0</v>
      </c>
      <c r="H104" s="4">
        <f t="shared" si="1"/>
        <v>-2750</v>
      </c>
      <c r="L104" s="3" t="s">
        <v>391</v>
      </c>
      <c r="T104" s="5">
        <v>46197.0</v>
      </c>
      <c r="U104" s="4" t="str">
        <f t="shared" si="2"/>
        <v>Out of Stock</v>
      </c>
    </row>
    <row r="105" ht="15.75" customHeight="1">
      <c r="A105" s="3" t="s">
        <v>392</v>
      </c>
      <c r="B105" s="3" t="s">
        <v>393</v>
      </c>
      <c r="C105" s="3" t="s">
        <v>394</v>
      </c>
      <c r="E105" s="3">
        <v>850.0</v>
      </c>
      <c r="F105" s="3">
        <v>1690.0</v>
      </c>
      <c r="H105" s="4">
        <f t="shared" si="1"/>
        <v>-850</v>
      </c>
      <c r="L105" s="3" t="s">
        <v>395</v>
      </c>
      <c r="M105" s="3" t="s">
        <v>396</v>
      </c>
      <c r="N105" s="3" t="s">
        <v>397</v>
      </c>
      <c r="O105" s="3" t="s">
        <v>398</v>
      </c>
      <c r="T105" s="5">
        <v>46197.0</v>
      </c>
      <c r="U105" s="4" t="str">
        <f t="shared" si="2"/>
        <v>Out of Stock</v>
      </c>
    </row>
    <row r="106" ht="15.75" customHeight="1">
      <c r="A106" s="3" t="s">
        <v>399</v>
      </c>
      <c r="B106" s="3" t="s">
        <v>400</v>
      </c>
      <c r="C106" s="3" t="s">
        <v>101</v>
      </c>
      <c r="E106" s="3">
        <v>975.0</v>
      </c>
      <c r="F106" s="3">
        <v>1690.0</v>
      </c>
      <c r="H106" s="4">
        <f t="shared" si="1"/>
        <v>-975</v>
      </c>
      <c r="L106" s="3" t="s">
        <v>401</v>
      </c>
      <c r="M106" s="3" t="s">
        <v>402</v>
      </c>
      <c r="N106" s="3" t="s">
        <v>403</v>
      </c>
      <c r="T106" s="5">
        <v>46197.0</v>
      </c>
      <c r="U106" s="4" t="str">
        <f t="shared" si="2"/>
        <v>Out of Stock</v>
      </c>
    </row>
    <row r="107" ht="15.75" customHeight="1">
      <c r="A107" s="3" t="s">
        <v>404</v>
      </c>
      <c r="B107" s="3" t="s">
        <v>405</v>
      </c>
      <c r="C107" s="3" t="s">
        <v>23</v>
      </c>
      <c r="E107" s="3">
        <v>1300.0</v>
      </c>
      <c r="F107" s="3">
        <v>1750.0</v>
      </c>
      <c r="G107" s="3">
        <v>1690.0</v>
      </c>
      <c r="H107" s="4">
        <f t="shared" si="1"/>
        <v>390</v>
      </c>
      <c r="L107" s="3" t="s">
        <v>406</v>
      </c>
      <c r="T107" s="5">
        <v>46197.0</v>
      </c>
      <c r="U107" s="4" t="str">
        <f t="shared" si="2"/>
        <v>Out of Stock</v>
      </c>
    </row>
    <row r="108" ht="15.75" customHeight="1">
      <c r="A108" s="3" t="s">
        <v>407</v>
      </c>
      <c r="B108" s="3" t="s">
        <v>408</v>
      </c>
      <c r="C108" s="3" t="s">
        <v>101</v>
      </c>
      <c r="E108" s="3">
        <v>1450.0</v>
      </c>
      <c r="F108" s="3">
        <v>1900.0</v>
      </c>
      <c r="H108" s="4">
        <f t="shared" si="1"/>
        <v>-1450</v>
      </c>
      <c r="L108" s="3" t="s">
        <v>409</v>
      </c>
      <c r="M108" s="3" t="s">
        <v>410</v>
      </c>
      <c r="N108" s="3" t="s">
        <v>411</v>
      </c>
      <c r="Q108" s="3" t="s">
        <v>412</v>
      </c>
      <c r="T108" s="5">
        <v>46197.0</v>
      </c>
      <c r="U108" s="4" t="str">
        <f t="shared" si="2"/>
        <v>Out of Stock</v>
      </c>
    </row>
    <row r="109" ht="15.75" customHeight="1">
      <c r="A109" s="3" t="s">
        <v>413</v>
      </c>
      <c r="B109" s="3" t="s">
        <v>414</v>
      </c>
      <c r="C109" s="3" t="s">
        <v>73</v>
      </c>
      <c r="E109" s="3">
        <v>530.0</v>
      </c>
      <c r="F109" s="3">
        <v>1350.0</v>
      </c>
      <c r="H109" s="4">
        <f t="shared" si="1"/>
        <v>-530</v>
      </c>
      <c r="L109" s="3" t="s">
        <v>415</v>
      </c>
      <c r="T109" s="5">
        <v>46197.0</v>
      </c>
      <c r="U109" s="4" t="str">
        <f t="shared" si="2"/>
        <v>Out of Stock</v>
      </c>
    </row>
    <row r="110" ht="15.75" customHeight="1">
      <c r="A110" s="3" t="s">
        <v>416</v>
      </c>
      <c r="B110" s="3" t="s">
        <v>417</v>
      </c>
      <c r="C110" s="3" t="s">
        <v>231</v>
      </c>
      <c r="E110" s="3">
        <v>600.0</v>
      </c>
      <c r="F110" s="3">
        <v>1500.0</v>
      </c>
      <c r="H110" s="4">
        <f t="shared" si="1"/>
        <v>-600</v>
      </c>
      <c r="L110" s="3" t="s">
        <v>418</v>
      </c>
      <c r="T110" s="5">
        <v>46197.0</v>
      </c>
      <c r="U110" s="4" t="str">
        <f t="shared" si="2"/>
        <v>Out of Stock</v>
      </c>
    </row>
    <row r="111" ht="15.75" customHeight="1">
      <c r="A111" s="3" t="s">
        <v>419</v>
      </c>
      <c r="B111" s="3" t="s">
        <v>420</v>
      </c>
      <c r="C111" s="3" t="s">
        <v>73</v>
      </c>
      <c r="E111" s="3">
        <v>3800.0</v>
      </c>
      <c r="F111" s="3">
        <v>5500.0</v>
      </c>
      <c r="G111" s="3">
        <v>4490.0</v>
      </c>
      <c r="H111" s="4">
        <f t="shared" si="1"/>
        <v>690</v>
      </c>
      <c r="L111" s="3" t="s">
        <v>421</v>
      </c>
      <c r="T111" s="5">
        <v>46197.0</v>
      </c>
      <c r="U111" s="4" t="str">
        <f t="shared" si="2"/>
        <v>Out of Stock</v>
      </c>
    </row>
    <row r="112" ht="15.75" customHeight="1">
      <c r="A112" s="3" t="s">
        <v>422</v>
      </c>
      <c r="B112" s="3" t="s">
        <v>423</v>
      </c>
      <c r="C112" s="3" t="s">
        <v>23</v>
      </c>
      <c r="E112" s="3">
        <v>250.0</v>
      </c>
      <c r="F112" s="3">
        <v>680.0</v>
      </c>
      <c r="G112" s="3">
        <v>400.0</v>
      </c>
      <c r="H112" s="4">
        <f t="shared" si="1"/>
        <v>150</v>
      </c>
      <c r="L112" s="3" t="s">
        <v>424</v>
      </c>
      <c r="M112" s="3" t="s">
        <v>425</v>
      </c>
      <c r="N112" s="3" t="s">
        <v>426</v>
      </c>
      <c r="O112" s="3" t="s">
        <v>427</v>
      </c>
      <c r="T112" s="5">
        <v>46197.0</v>
      </c>
      <c r="U112" s="4" t="str">
        <f t="shared" si="2"/>
        <v>Out of Stock</v>
      </c>
    </row>
    <row r="113" ht="15.75" customHeight="1">
      <c r="A113" s="3" t="s">
        <v>428</v>
      </c>
      <c r="B113" s="3" t="s">
        <v>429</v>
      </c>
      <c r="C113" s="3" t="s">
        <v>23</v>
      </c>
      <c r="E113" s="3">
        <v>1700.0</v>
      </c>
      <c r="F113" s="3">
        <v>2500.0</v>
      </c>
      <c r="G113" s="3">
        <v>2190.0</v>
      </c>
      <c r="H113" s="4">
        <f t="shared" si="1"/>
        <v>490</v>
      </c>
      <c r="L113" s="3" t="s">
        <v>430</v>
      </c>
      <c r="T113" s="5">
        <v>46197.0</v>
      </c>
      <c r="U113" s="4" t="str">
        <f t="shared" si="2"/>
        <v>Out of Stock</v>
      </c>
    </row>
    <row r="114" ht="15.75" customHeight="1">
      <c r="A114" s="3" t="s">
        <v>431</v>
      </c>
      <c r="B114" s="3" t="s">
        <v>432</v>
      </c>
      <c r="C114" s="3" t="s">
        <v>23</v>
      </c>
      <c r="E114" s="3">
        <v>300.0</v>
      </c>
      <c r="F114" s="3">
        <v>860.0</v>
      </c>
      <c r="G114" s="3">
        <v>550.0</v>
      </c>
      <c r="H114" s="4">
        <f t="shared" si="1"/>
        <v>250</v>
      </c>
      <c r="L114" s="3" t="s">
        <v>433</v>
      </c>
      <c r="M114" s="3" t="s">
        <v>434</v>
      </c>
      <c r="N114" s="3" t="s">
        <v>435</v>
      </c>
      <c r="O114" s="3" t="s">
        <v>436</v>
      </c>
      <c r="T114" s="5">
        <v>46197.0</v>
      </c>
      <c r="U114" s="4" t="str">
        <f t="shared" si="2"/>
        <v>Out of Stock</v>
      </c>
    </row>
    <row r="115" ht="15.75" customHeight="1">
      <c r="A115" s="3" t="s">
        <v>437</v>
      </c>
      <c r="B115" s="3" t="s">
        <v>438</v>
      </c>
      <c r="C115" s="3" t="s">
        <v>23</v>
      </c>
      <c r="E115" s="3">
        <v>275.0</v>
      </c>
      <c r="F115" s="3">
        <v>760.0</v>
      </c>
      <c r="G115" s="3">
        <v>530.0</v>
      </c>
      <c r="H115" s="4">
        <f t="shared" si="1"/>
        <v>255</v>
      </c>
      <c r="L115" s="3" t="s">
        <v>439</v>
      </c>
      <c r="T115" s="5">
        <v>46197.0</v>
      </c>
      <c r="U115" s="4" t="str">
        <f t="shared" si="2"/>
        <v>Out of Stock</v>
      </c>
    </row>
    <row r="116" ht="15.75" customHeight="1">
      <c r="A116" s="3" t="s">
        <v>440</v>
      </c>
      <c r="B116" s="3" t="s">
        <v>441</v>
      </c>
      <c r="C116" s="3" t="s">
        <v>73</v>
      </c>
      <c r="E116" s="3">
        <v>1000.0</v>
      </c>
      <c r="F116" s="3">
        <v>1560.0</v>
      </c>
      <c r="G116" s="3">
        <v>1290.0</v>
      </c>
      <c r="H116" s="4">
        <f t="shared" si="1"/>
        <v>290</v>
      </c>
      <c r="L116" s="3" t="s">
        <v>442</v>
      </c>
      <c r="M116" s="3" t="s">
        <v>443</v>
      </c>
      <c r="N116" s="3" t="s">
        <v>444</v>
      </c>
      <c r="O116" s="3" t="s">
        <v>445</v>
      </c>
      <c r="T116" s="5">
        <v>46197.0</v>
      </c>
      <c r="U116" s="4" t="str">
        <f t="shared" si="2"/>
        <v>Out of Stock</v>
      </c>
    </row>
    <row r="117" ht="15.75" customHeight="1">
      <c r="A117" s="3" t="s">
        <v>446</v>
      </c>
      <c r="B117" s="3" t="s">
        <v>447</v>
      </c>
      <c r="C117" s="3" t="s">
        <v>101</v>
      </c>
      <c r="E117" s="3">
        <v>1700.0</v>
      </c>
      <c r="F117" s="3">
        <v>2800.0</v>
      </c>
      <c r="H117" s="4">
        <f t="shared" si="1"/>
        <v>-1700</v>
      </c>
      <c r="L117" s="3" t="s">
        <v>448</v>
      </c>
      <c r="M117" s="3" t="s">
        <v>449</v>
      </c>
      <c r="N117" s="3" t="s">
        <v>450</v>
      </c>
      <c r="O117" s="3" t="s">
        <v>451</v>
      </c>
      <c r="Q117" s="3" t="s">
        <v>452</v>
      </c>
      <c r="T117" s="5">
        <v>46197.0</v>
      </c>
      <c r="U117" s="4" t="str">
        <f t="shared" si="2"/>
        <v>Out of Stock</v>
      </c>
    </row>
    <row r="118" ht="15.75" customHeight="1">
      <c r="A118" s="3" t="s">
        <v>453</v>
      </c>
      <c r="B118" s="3" t="s">
        <v>454</v>
      </c>
      <c r="C118" s="3" t="s">
        <v>23</v>
      </c>
      <c r="E118" s="3">
        <v>3400.0</v>
      </c>
      <c r="F118" s="3">
        <v>3890.0</v>
      </c>
      <c r="G118" s="3">
        <v>3750.0</v>
      </c>
      <c r="H118" s="4">
        <f t="shared" si="1"/>
        <v>350</v>
      </c>
      <c r="L118" s="3" t="s">
        <v>455</v>
      </c>
      <c r="T118" s="5">
        <v>46197.0</v>
      </c>
      <c r="U118" s="4" t="str">
        <f t="shared" si="2"/>
        <v>Out of Stock</v>
      </c>
    </row>
    <row r="119" ht="15.75" customHeight="1">
      <c r="A119" s="3" t="s">
        <v>456</v>
      </c>
      <c r="B119" s="3" t="s">
        <v>457</v>
      </c>
      <c r="C119" s="3" t="s">
        <v>23</v>
      </c>
      <c r="E119" s="3">
        <v>2600.0</v>
      </c>
      <c r="F119" s="3">
        <v>3500.0</v>
      </c>
      <c r="G119" s="3">
        <v>2990.0</v>
      </c>
      <c r="H119" s="4">
        <f t="shared" si="1"/>
        <v>390</v>
      </c>
      <c r="L119" s="3" t="s">
        <v>458</v>
      </c>
      <c r="M119" s="3" t="s">
        <v>459</v>
      </c>
      <c r="N119" s="3" t="s">
        <v>460</v>
      </c>
      <c r="Q119" s="3" t="s">
        <v>461</v>
      </c>
      <c r="T119" s="5">
        <v>46197.0</v>
      </c>
      <c r="U119" s="4" t="str">
        <f t="shared" si="2"/>
        <v>Out of Stock</v>
      </c>
    </row>
    <row r="120" ht="15.75" customHeight="1">
      <c r="A120" s="3" t="s">
        <v>462</v>
      </c>
      <c r="B120" s="3" t="s">
        <v>463</v>
      </c>
      <c r="C120" s="3" t="s">
        <v>23</v>
      </c>
      <c r="E120" s="3">
        <v>4100.0</v>
      </c>
      <c r="F120" s="3">
        <v>4590.0</v>
      </c>
      <c r="G120" s="3">
        <v>4390.0</v>
      </c>
      <c r="H120" s="4">
        <f t="shared" si="1"/>
        <v>290</v>
      </c>
      <c r="L120" s="3" t="s">
        <v>464</v>
      </c>
      <c r="T120" s="5">
        <v>46197.0</v>
      </c>
      <c r="U120" s="4" t="str">
        <f t="shared" si="2"/>
        <v>Out of Stock</v>
      </c>
    </row>
    <row r="121" ht="15.75" customHeight="1">
      <c r="A121" s="3" t="s">
        <v>465</v>
      </c>
      <c r="B121" s="3" t="s">
        <v>466</v>
      </c>
      <c r="C121" s="3" t="s">
        <v>73</v>
      </c>
      <c r="E121" s="3">
        <v>490.0</v>
      </c>
      <c r="F121" s="3">
        <v>1000.0</v>
      </c>
      <c r="H121" s="4">
        <f t="shared" si="1"/>
        <v>-490</v>
      </c>
      <c r="L121" s="3" t="s">
        <v>467</v>
      </c>
      <c r="T121" s="5">
        <v>46197.0</v>
      </c>
      <c r="U121" s="4" t="str">
        <f t="shared" si="2"/>
        <v>Out of Stock</v>
      </c>
    </row>
    <row r="122" ht="15.75" customHeight="1">
      <c r="A122" s="3" t="s">
        <v>468</v>
      </c>
      <c r="B122" s="3" t="s">
        <v>469</v>
      </c>
      <c r="C122" s="3" t="s">
        <v>91</v>
      </c>
      <c r="E122" s="3">
        <v>1000.0</v>
      </c>
      <c r="F122" s="3">
        <v>1600.0</v>
      </c>
      <c r="H122" s="4">
        <f t="shared" si="1"/>
        <v>-1000</v>
      </c>
      <c r="L122" s="3" t="s">
        <v>470</v>
      </c>
      <c r="M122" s="3" t="s">
        <v>471</v>
      </c>
      <c r="N122" s="3" t="s">
        <v>472</v>
      </c>
      <c r="O122" s="3" t="s">
        <v>473</v>
      </c>
      <c r="T122" s="5">
        <v>46197.0</v>
      </c>
      <c r="U122" s="4" t="str">
        <f t="shared" si="2"/>
        <v>Out of Stock</v>
      </c>
    </row>
    <row r="123" ht="15.75" customHeight="1">
      <c r="A123" s="3" t="s">
        <v>474</v>
      </c>
      <c r="B123" s="3" t="s">
        <v>475</v>
      </c>
      <c r="C123" s="3" t="s">
        <v>231</v>
      </c>
      <c r="E123" s="3">
        <v>950.0</v>
      </c>
      <c r="F123" s="3">
        <v>1550.0</v>
      </c>
      <c r="H123" s="4">
        <f t="shared" si="1"/>
        <v>-950</v>
      </c>
      <c r="L123" s="3" t="s">
        <v>476</v>
      </c>
      <c r="T123" s="5">
        <v>46197.0</v>
      </c>
      <c r="U123" s="4" t="str">
        <f t="shared" si="2"/>
        <v>Out of Stock</v>
      </c>
    </row>
    <row r="124" ht="15.75" customHeight="1">
      <c r="A124" s="3" t="s">
        <v>477</v>
      </c>
      <c r="B124" s="3" t="s">
        <v>478</v>
      </c>
      <c r="C124" s="3" t="s">
        <v>73</v>
      </c>
      <c r="E124" s="3">
        <v>540.0</v>
      </c>
      <c r="F124" s="3">
        <v>1390.0</v>
      </c>
      <c r="H124" s="4">
        <f t="shared" si="1"/>
        <v>-540</v>
      </c>
      <c r="L124" s="3" t="s">
        <v>479</v>
      </c>
      <c r="M124" s="3" t="s">
        <v>480</v>
      </c>
      <c r="N124" s="3" t="s">
        <v>481</v>
      </c>
      <c r="T124" s="5">
        <v>46197.0</v>
      </c>
      <c r="U124" s="4" t="str">
        <f t="shared" si="2"/>
        <v>Out of Stock</v>
      </c>
    </row>
    <row r="125" ht="15.75" customHeight="1">
      <c r="A125" s="3" t="s">
        <v>482</v>
      </c>
      <c r="B125" s="3" t="s">
        <v>483</v>
      </c>
      <c r="C125" s="3" t="s">
        <v>73</v>
      </c>
      <c r="E125" s="3">
        <v>550.0</v>
      </c>
      <c r="F125" s="3">
        <v>1350.0</v>
      </c>
      <c r="H125" s="4">
        <f t="shared" si="1"/>
        <v>-550</v>
      </c>
      <c r="L125" s="3" t="s">
        <v>484</v>
      </c>
      <c r="T125" s="5">
        <v>46197.0</v>
      </c>
      <c r="U125" s="4" t="str">
        <f t="shared" si="2"/>
        <v>Out of Stock</v>
      </c>
    </row>
    <row r="126" ht="15.75" customHeight="1">
      <c r="A126" s="3" t="s">
        <v>485</v>
      </c>
      <c r="B126" s="3" t="s">
        <v>486</v>
      </c>
      <c r="C126" s="3" t="s">
        <v>180</v>
      </c>
      <c r="E126" s="3">
        <v>1250.0</v>
      </c>
      <c r="F126" s="3">
        <v>1960.0</v>
      </c>
      <c r="H126" s="4">
        <f t="shared" si="1"/>
        <v>-1250</v>
      </c>
      <c r="L126" s="3" t="s">
        <v>487</v>
      </c>
      <c r="M126" s="3" t="s">
        <v>488</v>
      </c>
      <c r="N126" s="3" t="s">
        <v>489</v>
      </c>
      <c r="T126" s="5">
        <v>46197.0</v>
      </c>
      <c r="U126" s="4" t="str">
        <f t="shared" si="2"/>
        <v>Out of Stock</v>
      </c>
    </row>
    <row r="127" ht="15.75" customHeight="1">
      <c r="A127" s="3" t="s">
        <v>490</v>
      </c>
      <c r="B127" s="3" t="s">
        <v>491</v>
      </c>
      <c r="C127" s="3" t="s">
        <v>73</v>
      </c>
      <c r="E127" s="3">
        <v>440.0</v>
      </c>
      <c r="F127" s="3">
        <v>1000.0</v>
      </c>
      <c r="H127" s="4">
        <f t="shared" si="1"/>
        <v>-440</v>
      </c>
      <c r="L127" s="3" t="s">
        <v>492</v>
      </c>
      <c r="T127" s="5">
        <v>46197.0</v>
      </c>
      <c r="U127" s="4" t="str">
        <f t="shared" si="2"/>
        <v>Out of Stock</v>
      </c>
    </row>
    <row r="128" ht="15.75" customHeight="1">
      <c r="A128" s="3" t="s">
        <v>493</v>
      </c>
      <c r="B128" s="3" t="s">
        <v>494</v>
      </c>
      <c r="C128" s="3" t="s">
        <v>73</v>
      </c>
      <c r="E128" s="3">
        <v>950.0</v>
      </c>
      <c r="F128" s="3">
        <v>1100.0</v>
      </c>
      <c r="H128" s="4">
        <f t="shared" si="1"/>
        <v>-950</v>
      </c>
      <c r="L128" s="3" t="s">
        <v>495</v>
      </c>
      <c r="T128" s="5">
        <v>46197.0</v>
      </c>
      <c r="U128" s="4" t="str">
        <f t="shared" si="2"/>
        <v>Out of Stock</v>
      </c>
    </row>
    <row r="129" ht="15.75" customHeight="1">
      <c r="A129" s="3" t="s">
        <v>496</v>
      </c>
      <c r="B129" s="3" t="s">
        <v>497</v>
      </c>
      <c r="C129" s="3" t="s">
        <v>299</v>
      </c>
      <c r="E129" s="3">
        <v>950.0</v>
      </c>
      <c r="F129" s="3">
        <v>1100.0</v>
      </c>
      <c r="H129" s="4">
        <f t="shared" si="1"/>
        <v>-950</v>
      </c>
      <c r="L129" s="3" t="s">
        <v>498</v>
      </c>
      <c r="T129" s="5">
        <v>46197.0</v>
      </c>
      <c r="U129" s="4" t="str">
        <f t="shared" si="2"/>
        <v>Out of Stock</v>
      </c>
    </row>
    <row r="130" ht="15.75" customHeight="1">
      <c r="A130" s="3" t="s">
        <v>499</v>
      </c>
      <c r="B130" s="3" t="s">
        <v>500</v>
      </c>
      <c r="C130" s="3" t="s">
        <v>23</v>
      </c>
      <c r="E130" s="3">
        <v>2900.0</v>
      </c>
      <c r="F130" s="3">
        <v>3660.0</v>
      </c>
      <c r="G130" s="3">
        <v>3350.0</v>
      </c>
      <c r="H130" s="4">
        <f t="shared" si="1"/>
        <v>450</v>
      </c>
      <c r="L130" s="3" t="s">
        <v>501</v>
      </c>
      <c r="T130" s="5">
        <v>46197.0</v>
      </c>
      <c r="U130" s="4" t="str">
        <f t="shared" si="2"/>
        <v>Out of Stock</v>
      </c>
    </row>
    <row r="131" ht="15.75" customHeight="1">
      <c r="A131" s="3" t="s">
        <v>502</v>
      </c>
      <c r="B131" s="3" t="s">
        <v>503</v>
      </c>
      <c r="C131" s="3" t="s">
        <v>73</v>
      </c>
      <c r="E131" s="3">
        <v>425.0</v>
      </c>
      <c r="F131" s="3">
        <v>1000.0</v>
      </c>
      <c r="H131" s="4">
        <f t="shared" si="1"/>
        <v>-425</v>
      </c>
      <c r="L131" s="3" t="s">
        <v>504</v>
      </c>
      <c r="T131" s="5">
        <v>46197.0</v>
      </c>
      <c r="U131" s="4" t="str">
        <f t="shared" si="2"/>
        <v>Out of Stock</v>
      </c>
    </row>
    <row r="132" ht="15.75" customHeight="1">
      <c r="A132" s="3" t="s">
        <v>505</v>
      </c>
      <c r="B132" s="3" t="s">
        <v>506</v>
      </c>
      <c r="C132" s="3" t="s">
        <v>151</v>
      </c>
      <c r="E132" s="3">
        <v>850.0</v>
      </c>
      <c r="F132" s="3">
        <v>1600.0</v>
      </c>
      <c r="H132" s="4">
        <f t="shared" si="1"/>
        <v>-850</v>
      </c>
      <c r="L132" s="3" t="s">
        <v>507</v>
      </c>
      <c r="T132" s="5">
        <v>46197.0</v>
      </c>
      <c r="U132" s="4" t="str">
        <f t="shared" si="2"/>
        <v>Out of Stock</v>
      </c>
    </row>
    <row r="133" ht="15.75" customHeight="1">
      <c r="A133" s="3" t="s">
        <v>508</v>
      </c>
      <c r="B133" s="3" t="s">
        <v>509</v>
      </c>
      <c r="C133" s="3" t="s">
        <v>151</v>
      </c>
      <c r="E133" s="3">
        <v>825.0</v>
      </c>
      <c r="F133" s="3">
        <v>1650.0</v>
      </c>
      <c r="G133" s="3">
        <v>1250.0</v>
      </c>
      <c r="H133" s="4">
        <f t="shared" si="1"/>
        <v>425</v>
      </c>
      <c r="L133" s="3" t="s">
        <v>510</v>
      </c>
      <c r="T133" s="5">
        <v>46197.0</v>
      </c>
      <c r="U133" s="4" t="str">
        <f t="shared" si="2"/>
        <v>Out of Stock</v>
      </c>
    </row>
    <row r="134" ht="15.75" customHeight="1">
      <c r="A134" s="3" t="s">
        <v>511</v>
      </c>
      <c r="B134" s="3" t="s">
        <v>512</v>
      </c>
      <c r="C134" s="3" t="s">
        <v>91</v>
      </c>
      <c r="E134" s="3">
        <v>500.0</v>
      </c>
      <c r="F134" s="3">
        <v>1250.0</v>
      </c>
      <c r="H134" s="4">
        <f t="shared" si="1"/>
        <v>-500</v>
      </c>
      <c r="L134" s="3" t="s">
        <v>513</v>
      </c>
      <c r="T134" s="5">
        <v>46197.0</v>
      </c>
      <c r="U134" s="4" t="str">
        <f t="shared" si="2"/>
        <v>Out of Stock</v>
      </c>
    </row>
    <row r="135" ht="15.75" customHeight="1">
      <c r="A135" s="3" t="s">
        <v>514</v>
      </c>
      <c r="B135" s="3" t="s">
        <v>515</v>
      </c>
      <c r="C135" s="3" t="s">
        <v>151</v>
      </c>
      <c r="E135" s="3">
        <v>1550.0</v>
      </c>
      <c r="F135" s="3">
        <v>2200.0</v>
      </c>
      <c r="G135" s="3">
        <v>1990.0</v>
      </c>
      <c r="H135" s="4">
        <f t="shared" si="1"/>
        <v>440</v>
      </c>
      <c r="L135" s="3" t="s">
        <v>516</v>
      </c>
      <c r="T135" s="5">
        <v>46197.0</v>
      </c>
      <c r="U135" s="4" t="str">
        <f t="shared" si="2"/>
        <v>Out of Stock</v>
      </c>
    </row>
    <row r="136" ht="15.75" customHeight="1">
      <c r="A136" s="3" t="s">
        <v>517</v>
      </c>
      <c r="B136" s="3" t="s">
        <v>518</v>
      </c>
      <c r="C136" s="3" t="s">
        <v>180</v>
      </c>
      <c r="E136" s="3">
        <v>1800.0</v>
      </c>
      <c r="F136" s="3">
        <v>2600.0</v>
      </c>
      <c r="G136" s="3">
        <v>2450.0</v>
      </c>
      <c r="H136" s="4">
        <f t="shared" si="1"/>
        <v>650</v>
      </c>
      <c r="L136" s="3" t="s">
        <v>519</v>
      </c>
      <c r="M136" s="3" t="s">
        <v>520</v>
      </c>
      <c r="N136" s="3" t="s">
        <v>521</v>
      </c>
      <c r="O136" s="3" t="s">
        <v>522</v>
      </c>
      <c r="T136" s="5">
        <v>46197.0</v>
      </c>
      <c r="U136" s="4" t="str">
        <f t="shared" si="2"/>
        <v>Out of Stock</v>
      </c>
    </row>
    <row r="137" ht="15.75" customHeight="1">
      <c r="A137" s="3" t="s">
        <v>523</v>
      </c>
      <c r="B137" s="3" t="s">
        <v>524</v>
      </c>
      <c r="C137" s="3" t="s">
        <v>151</v>
      </c>
      <c r="E137" s="3">
        <v>2100.0</v>
      </c>
      <c r="F137" s="3">
        <v>2560.0</v>
      </c>
      <c r="H137" s="4">
        <f t="shared" si="1"/>
        <v>-2100</v>
      </c>
      <c r="L137" s="3" t="s">
        <v>525</v>
      </c>
      <c r="T137" s="5">
        <v>46197.0</v>
      </c>
      <c r="U137" s="4" t="str">
        <f t="shared" si="2"/>
        <v>Out of Stock</v>
      </c>
    </row>
    <row r="138" ht="15.75" customHeight="1">
      <c r="A138" s="3" t="s">
        <v>526</v>
      </c>
      <c r="B138" s="3" t="s">
        <v>527</v>
      </c>
      <c r="C138" s="3" t="s">
        <v>299</v>
      </c>
      <c r="E138" s="3">
        <v>1600.0</v>
      </c>
      <c r="F138" s="3">
        <v>2500.0</v>
      </c>
      <c r="H138" s="4">
        <f t="shared" si="1"/>
        <v>-1600</v>
      </c>
      <c r="L138" s="3" t="s">
        <v>528</v>
      </c>
      <c r="T138" s="5">
        <v>46197.0</v>
      </c>
      <c r="U138" s="4" t="str">
        <f t="shared" si="2"/>
        <v>Out of Stock</v>
      </c>
    </row>
    <row r="139" ht="15.75" customHeight="1">
      <c r="A139" s="3" t="s">
        <v>529</v>
      </c>
      <c r="B139" s="3" t="s">
        <v>530</v>
      </c>
      <c r="C139" s="3" t="s">
        <v>73</v>
      </c>
      <c r="E139" s="3">
        <v>850.0</v>
      </c>
      <c r="F139" s="3">
        <v>1600.0</v>
      </c>
      <c r="H139" s="4">
        <f t="shared" si="1"/>
        <v>-850</v>
      </c>
      <c r="L139" s="3" t="s">
        <v>531</v>
      </c>
      <c r="T139" s="5">
        <v>46197.0</v>
      </c>
      <c r="U139" s="4" t="str">
        <f t="shared" si="2"/>
        <v>Out of Stock</v>
      </c>
    </row>
    <row r="140" ht="15.75" customHeight="1">
      <c r="A140" s="3" t="s">
        <v>532</v>
      </c>
      <c r="B140" s="3" t="s">
        <v>533</v>
      </c>
      <c r="C140" s="3" t="s">
        <v>23</v>
      </c>
      <c r="E140" s="3">
        <v>2350.0</v>
      </c>
      <c r="F140" s="3">
        <v>2800.0</v>
      </c>
      <c r="G140" s="3">
        <v>2550.0</v>
      </c>
      <c r="H140" s="4">
        <f t="shared" si="1"/>
        <v>200</v>
      </c>
      <c r="L140" s="3" t="s">
        <v>534</v>
      </c>
      <c r="T140" s="5">
        <v>46197.0</v>
      </c>
      <c r="U140" s="4" t="str">
        <f t="shared" si="2"/>
        <v>Out of Stock</v>
      </c>
    </row>
    <row r="141" ht="15.75" customHeight="1">
      <c r="A141" s="3" t="s">
        <v>535</v>
      </c>
      <c r="B141" s="3" t="s">
        <v>536</v>
      </c>
      <c r="C141" s="3" t="s">
        <v>73</v>
      </c>
      <c r="E141" s="3">
        <v>500.0</v>
      </c>
      <c r="F141" s="3">
        <v>1200.0</v>
      </c>
      <c r="H141" s="4">
        <f t="shared" si="1"/>
        <v>-500</v>
      </c>
      <c r="L141" s="3" t="s">
        <v>537</v>
      </c>
      <c r="T141" s="5">
        <v>46197.0</v>
      </c>
      <c r="U141" s="4" t="str">
        <f t="shared" si="2"/>
        <v>Out of Stock</v>
      </c>
    </row>
    <row r="142" ht="15.75" customHeight="1">
      <c r="A142" s="3" t="s">
        <v>538</v>
      </c>
      <c r="B142" s="3" t="s">
        <v>539</v>
      </c>
      <c r="C142" s="3" t="s">
        <v>23</v>
      </c>
      <c r="E142" s="3">
        <v>2300.0</v>
      </c>
      <c r="F142" s="3">
        <v>2860.0</v>
      </c>
      <c r="G142" s="3">
        <v>2690.0</v>
      </c>
      <c r="H142" s="4">
        <f t="shared" si="1"/>
        <v>390</v>
      </c>
      <c r="L142" s="3" t="s">
        <v>540</v>
      </c>
      <c r="T142" s="5">
        <v>46197.0</v>
      </c>
      <c r="U142" s="4" t="str">
        <f t="shared" si="2"/>
        <v>Out of Stock</v>
      </c>
    </row>
    <row r="143" ht="15.75" customHeight="1">
      <c r="A143" s="3" t="s">
        <v>541</v>
      </c>
      <c r="B143" s="3" t="s">
        <v>542</v>
      </c>
      <c r="C143" s="3" t="s">
        <v>231</v>
      </c>
      <c r="E143" s="3">
        <v>1500.0</v>
      </c>
      <c r="F143" s="3">
        <v>2300.0</v>
      </c>
      <c r="H143" s="4">
        <f t="shared" si="1"/>
        <v>-1500</v>
      </c>
      <c r="L143" s="3" t="s">
        <v>543</v>
      </c>
      <c r="T143" s="5">
        <v>46197.0</v>
      </c>
      <c r="U143" s="4" t="str">
        <f t="shared" si="2"/>
        <v>Out of Stock</v>
      </c>
    </row>
    <row r="144" ht="15.75" customHeight="1">
      <c r="A144" s="3" t="s">
        <v>544</v>
      </c>
      <c r="B144" s="3" t="s">
        <v>545</v>
      </c>
      <c r="C144" s="3" t="s">
        <v>23</v>
      </c>
      <c r="E144" s="3">
        <v>875.0</v>
      </c>
      <c r="F144" s="3">
        <v>1690.0</v>
      </c>
      <c r="H144" s="4">
        <f t="shared" si="1"/>
        <v>-875</v>
      </c>
      <c r="L144" s="3" t="s">
        <v>546</v>
      </c>
      <c r="T144" s="5">
        <v>46197.0</v>
      </c>
      <c r="U144" s="4" t="str">
        <f t="shared" si="2"/>
        <v>Out of Stock</v>
      </c>
    </row>
    <row r="145" ht="15.75" customHeight="1">
      <c r="A145" s="3" t="s">
        <v>547</v>
      </c>
      <c r="B145" s="3" t="s">
        <v>548</v>
      </c>
      <c r="C145" s="3" t="s">
        <v>299</v>
      </c>
      <c r="E145" s="3">
        <v>575.0</v>
      </c>
      <c r="F145" s="3">
        <v>1300.0</v>
      </c>
      <c r="H145" s="4">
        <f t="shared" si="1"/>
        <v>-575</v>
      </c>
      <c r="L145" s="3" t="s">
        <v>549</v>
      </c>
      <c r="T145" s="5">
        <v>46197.0</v>
      </c>
      <c r="U145" s="4" t="str">
        <f t="shared" si="2"/>
        <v>Out of Stock</v>
      </c>
    </row>
    <row r="146" ht="15.75" customHeight="1">
      <c r="A146" s="3" t="s">
        <v>550</v>
      </c>
      <c r="B146" s="3" t="s">
        <v>551</v>
      </c>
      <c r="C146" s="3" t="s">
        <v>23</v>
      </c>
      <c r="E146" s="3">
        <v>1250.0</v>
      </c>
      <c r="F146" s="3">
        <v>1680.0</v>
      </c>
      <c r="G146" s="3">
        <v>1550.0</v>
      </c>
      <c r="H146" s="4">
        <f t="shared" si="1"/>
        <v>300</v>
      </c>
      <c r="L146" s="3" t="s">
        <v>552</v>
      </c>
      <c r="T146" s="5">
        <v>46197.0</v>
      </c>
      <c r="U146" s="4" t="str">
        <f t="shared" si="2"/>
        <v>Out of Stock</v>
      </c>
    </row>
    <row r="147" ht="15.75" customHeight="1">
      <c r="A147" s="3" t="s">
        <v>553</v>
      </c>
      <c r="B147" s="3" t="s">
        <v>554</v>
      </c>
      <c r="C147" s="3" t="s">
        <v>91</v>
      </c>
      <c r="E147" s="3">
        <v>450.0</v>
      </c>
      <c r="F147" s="3">
        <v>1000.0</v>
      </c>
      <c r="H147" s="4">
        <f t="shared" si="1"/>
        <v>-450</v>
      </c>
      <c r="L147" s="3" t="s">
        <v>555</v>
      </c>
      <c r="T147" s="5">
        <v>46197.0</v>
      </c>
      <c r="U147" s="4" t="str">
        <f t="shared" si="2"/>
        <v>Out of Stock</v>
      </c>
    </row>
    <row r="148" ht="15.75" customHeight="1">
      <c r="A148" s="3" t="s">
        <v>556</v>
      </c>
      <c r="B148" s="3" t="s">
        <v>557</v>
      </c>
      <c r="C148" s="3" t="s">
        <v>101</v>
      </c>
      <c r="E148" s="3">
        <v>250.0</v>
      </c>
      <c r="F148" s="3">
        <v>600.0</v>
      </c>
      <c r="H148" s="4">
        <f t="shared" si="1"/>
        <v>-250</v>
      </c>
      <c r="L148" s="3" t="s">
        <v>558</v>
      </c>
      <c r="T148" s="5">
        <v>46197.0</v>
      </c>
      <c r="U148" s="4" t="str">
        <f t="shared" si="2"/>
        <v>Out of Stock</v>
      </c>
    </row>
    <row r="149" ht="15.75" customHeight="1">
      <c r="A149" s="3" t="s">
        <v>559</v>
      </c>
      <c r="B149" s="3" t="s">
        <v>560</v>
      </c>
      <c r="C149" s="3" t="s">
        <v>73</v>
      </c>
      <c r="E149" s="3">
        <v>900.0</v>
      </c>
      <c r="F149" s="3">
        <v>1650.0</v>
      </c>
      <c r="G149" s="3">
        <v>1290.0</v>
      </c>
      <c r="H149" s="4">
        <f t="shared" si="1"/>
        <v>390</v>
      </c>
      <c r="L149" s="3" t="s">
        <v>561</v>
      </c>
      <c r="T149" s="5">
        <v>46197.0</v>
      </c>
      <c r="U149" s="4" t="str">
        <f t="shared" si="2"/>
        <v>Out of Stock</v>
      </c>
    </row>
    <row r="150" ht="15.75" customHeight="1">
      <c r="A150" s="3" t="s">
        <v>562</v>
      </c>
      <c r="B150" s="3" t="s">
        <v>563</v>
      </c>
      <c r="C150" s="3" t="s">
        <v>23</v>
      </c>
      <c r="E150" s="3">
        <v>1200.0</v>
      </c>
      <c r="F150" s="3">
        <v>1690.0</v>
      </c>
      <c r="G150" s="3">
        <v>1500.0</v>
      </c>
      <c r="H150" s="4">
        <f t="shared" si="1"/>
        <v>300</v>
      </c>
      <c r="L150" s="3" t="s">
        <v>564</v>
      </c>
      <c r="T150" s="5">
        <v>46197.0</v>
      </c>
      <c r="U150" s="4" t="str">
        <f t="shared" si="2"/>
        <v>Out of Stock</v>
      </c>
    </row>
    <row r="151" ht="15.75" customHeight="1">
      <c r="A151" s="3" t="s">
        <v>565</v>
      </c>
      <c r="B151" s="3" t="s">
        <v>566</v>
      </c>
      <c r="C151" s="3" t="s">
        <v>151</v>
      </c>
      <c r="E151" s="3">
        <v>450.0</v>
      </c>
      <c r="F151" s="3">
        <v>1000.0</v>
      </c>
      <c r="H151" s="4">
        <f t="shared" si="1"/>
        <v>-450</v>
      </c>
      <c r="L151" s="3" t="s">
        <v>567</v>
      </c>
      <c r="T151" s="5">
        <v>46197.0</v>
      </c>
      <c r="U151" s="4" t="str">
        <f t="shared" si="2"/>
        <v>Out of Stock</v>
      </c>
    </row>
    <row r="152" ht="15.75" customHeight="1">
      <c r="A152" s="3" t="s">
        <v>568</v>
      </c>
      <c r="B152" s="3" t="s">
        <v>569</v>
      </c>
      <c r="C152" s="3" t="s">
        <v>73</v>
      </c>
      <c r="E152" s="3">
        <v>550.0</v>
      </c>
      <c r="F152" s="3">
        <v>1100.0</v>
      </c>
      <c r="G152" s="3">
        <v>850.0</v>
      </c>
      <c r="H152" s="4">
        <f t="shared" si="1"/>
        <v>300</v>
      </c>
      <c r="L152" s="3" t="s">
        <v>570</v>
      </c>
      <c r="T152" s="5">
        <v>46197.0</v>
      </c>
      <c r="U152" s="4" t="str">
        <f t="shared" si="2"/>
        <v>Out of Stock</v>
      </c>
    </row>
    <row r="153" ht="15.75" customHeight="1">
      <c r="A153" s="3" t="s">
        <v>571</v>
      </c>
      <c r="B153" s="3" t="s">
        <v>572</v>
      </c>
      <c r="C153" s="3" t="s">
        <v>73</v>
      </c>
      <c r="E153" s="3">
        <v>1300.0</v>
      </c>
      <c r="F153" s="3">
        <v>1700.0</v>
      </c>
      <c r="G153" s="3">
        <v>1590.0</v>
      </c>
      <c r="H153" s="4">
        <f t="shared" si="1"/>
        <v>290</v>
      </c>
      <c r="L153" s="3" t="s">
        <v>573</v>
      </c>
      <c r="T153" s="5">
        <v>46197.0</v>
      </c>
      <c r="U153" s="4" t="str">
        <f t="shared" si="2"/>
        <v>Out of Stock</v>
      </c>
    </row>
    <row r="154" ht="15.75" customHeight="1">
      <c r="A154" s="3" t="s">
        <v>574</v>
      </c>
      <c r="B154" s="3" t="s">
        <v>575</v>
      </c>
      <c r="C154" s="3" t="s">
        <v>151</v>
      </c>
      <c r="E154" s="3">
        <v>1725.0</v>
      </c>
      <c r="F154" s="3">
        <v>2600.0</v>
      </c>
      <c r="H154" s="4">
        <f t="shared" si="1"/>
        <v>-1725</v>
      </c>
      <c r="L154" s="3" t="s">
        <v>576</v>
      </c>
      <c r="T154" s="5">
        <v>46197.0</v>
      </c>
      <c r="U154" s="4" t="str">
        <f t="shared" si="2"/>
        <v>Out of Stock</v>
      </c>
    </row>
    <row r="155" ht="15.75" customHeight="1">
      <c r="A155" s="3" t="s">
        <v>577</v>
      </c>
      <c r="B155" s="3" t="s">
        <v>578</v>
      </c>
      <c r="C155" s="3" t="s">
        <v>73</v>
      </c>
      <c r="E155" s="3">
        <v>550.0</v>
      </c>
      <c r="F155" s="3">
        <v>1600.0</v>
      </c>
      <c r="H155" s="4">
        <f t="shared" si="1"/>
        <v>-550</v>
      </c>
      <c r="L155" s="3" t="s">
        <v>579</v>
      </c>
      <c r="T155" s="5">
        <v>46197.0</v>
      </c>
      <c r="U155" s="4" t="str">
        <f t="shared" si="2"/>
        <v>Out of Stock</v>
      </c>
    </row>
    <row r="156" ht="15.75" customHeight="1">
      <c r="A156" s="3" t="s">
        <v>580</v>
      </c>
      <c r="B156" s="3" t="s">
        <v>581</v>
      </c>
      <c r="C156" s="3" t="s">
        <v>73</v>
      </c>
      <c r="E156" s="3">
        <v>600.0</v>
      </c>
      <c r="F156" s="3">
        <v>1400.0</v>
      </c>
      <c r="H156" s="4">
        <f t="shared" si="1"/>
        <v>-600</v>
      </c>
      <c r="L156" s="3" t="s">
        <v>582</v>
      </c>
      <c r="T156" s="5">
        <v>46197.0</v>
      </c>
      <c r="U156" s="4" t="str">
        <f t="shared" si="2"/>
        <v>Out of Stock</v>
      </c>
    </row>
    <row r="157" ht="15.75" customHeight="1">
      <c r="A157" s="3" t="s">
        <v>583</v>
      </c>
      <c r="B157" s="3" t="s">
        <v>584</v>
      </c>
      <c r="C157" s="3" t="s">
        <v>151</v>
      </c>
      <c r="E157" s="3">
        <v>525.0</v>
      </c>
      <c r="F157" s="3">
        <v>1200.0</v>
      </c>
      <c r="G157" s="3">
        <v>990.0</v>
      </c>
      <c r="H157" s="4">
        <f t="shared" si="1"/>
        <v>465</v>
      </c>
      <c r="L157" s="3" t="s">
        <v>585</v>
      </c>
      <c r="T157" s="5">
        <v>46197.0</v>
      </c>
      <c r="U157" s="4" t="str">
        <f t="shared" si="2"/>
        <v>Out of Stock</v>
      </c>
    </row>
    <row r="158" ht="15.75" customHeight="1">
      <c r="A158" s="3" t="s">
        <v>586</v>
      </c>
      <c r="B158" s="3" t="s">
        <v>587</v>
      </c>
      <c r="C158" s="3" t="s">
        <v>151</v>
      </c>
      <c r="E158" s="3">
        <v>1600.0</v>
      </c>
      <c r="F158" s="3">
        <v>2300.0</v>
      </c>
      <c r="H158" s="4">
        <f t="shared" si="1"/>
        <v>-1600</v>
      </c>
      <c r="L158" s="3" t="s">
        <v>588</v>
      </c>
      <c r="T158" s="5">
        <v>46197.0</v>
      </c>
      <c r="U158" s="4" t="str">
        <f t="shared" si="2"/>
        <v>Out of Stock</v>
      </c>
    </row>
    <row r="159" ht="15.75" customHeight="1">
      <c r="A159" s="3" t="s">
        <v>589</v>
      </c>
      <c r="B159" s="3" t="s">
        <v>590</v>
      </c>
      <c r="C159" s="3" t="s">
        <v>151</v>
      </c>
      <c r="E159" s="3">
        <v>650.0</v>
      </c>
      <c r="F159" s="3">
        <v>1400.0</v>
      </c>
      <c r="H159" s="4">
        <f t="shared" si="1"/>
        <v>-650</v>
      </c>
      <c r="L159" s="3" t="s">
        <v>591</v>
      </c>
      <c r="T159" s="5">
        <v>46197.0</v>
      </c>
      <c r="U159" s="4" t="str">
        <f t="shared" si="2"/>
        <v>Out of Stock</v>
      </c>
    </row>
    <row r="160" ht="15.75" customHeight="1">
      <c r="A160" s="3" t="s">
        <v>592</v>
      </c>
      <c r="B160" s="3" t="s">
        <v>593</v>
      </c>
      <c r="C160" s="3" t="s">
        <v>594</v>
      </c>
      <c r="E160" s="3">
        <v>1200.0</v>
      </c>
      <c r="F160" s="3">
        <v>1650.0</v>
      </c>
      <c r="G160" s="3">
        <v>1450.0</v>
      </c>
      <c r="H160" s="4">
        <f t="shared" si="1"/>
        <v>250</v>
      </c>
      <c r="L160" s="3" t="s">
        <v>595</v>
      </c>
      <c r="T160" s="5">
        <v>46197.0</v>
      </c>
      <c r="U160" s="4" t="str">
        <f t="shared" si="2"/>
        <v>Out of Stock</v>
      </c>
    </row>
    <row r="161" ht="15.75" customHeight="1">
      <c r="A161" s="3" t="s">
        <v>596</v>
      </c>
      <c r="B161" s="3" t="s">
        <v>597</v>
      </c>
      <c r="C161" s="3" t="s">
        <v>594</v>
      </c>
      <c r="E161" s="3">
        <v>1750.0</v>
      </c>
      <c r="F161" s="3">
        <v>2690.0</v>
      </c>
      <c r="G161" s="3">
        <v>2590.0</v>
      </c>
      <c r="H161" s="4">
        <f t="shared" si="1"/>
        <v>840</v>
      </c>
      <c r="L161" s="3" t="s">
        <v>598</v>
      </c>
      <c r="M161" s="3" t="s">
        <v>599</v>
      </c>
      <c r="N161" s="3" t="s">
        <v>600</v>
      </c>
      <c r="O161" s="3" t="s">
        <v>601</v>
      </c>
      <c r="T161" s="5">
        <v>46197.0</v>
      </c>
      <c r="U161" s="4" t="str">
        <f t="shared" si="2"/>
        <v>Out of Stock</v>
      </c>
    </row>
    <row r="162" ht="15.75" customHeight="1">
      <c r="A162" s="3" t="s">
        <v>602</v>
      </c>
      <c r="B162" s="3" t="s">
        <v>603</v>
      </c>
      <c r="C162" s="3" t="s">
        <v>231</v>
      </c>
      <c r="E162" s="3">
        <v>850.0</v>
      </c>
      <c r="F162" s="3">
        <v>1660.0</v>
      </c>
      <c r="H162" s="4">
        <f t="shared" si="1"/>
        <v>-850</v>
      </c>
      <c r="L162" s="3" t="s">
        <v>604</v>
      </c>
      <c r="M162" s="3" t="s">
        <v>605</v>
      </c>
      <c r="N162" s="3" t="s">
        <v>606</v>
      </c>
      <c r="O162" s="3" t="s">
        <v>607</v>
      </c>
      <c r="T162" s="5">
        <v>46197.0</v>
      </c>
      <c r="U162" s="4" t="str">
        <f t="shared" si="2"/>
        <v>Out of Stock</v>
      </c>
    </row>
    <row r="163" ht="15.75" customHeight="1">
      <c r="A163" s="3" t="s">
        <v>608</v>
      </c>
      <c r="B163" s="3" t="s">
        <v>609</v>
      </c>
      <c r="C163" s="3" t="s">
        <v>594</v>
      </c>
      <c r="E163" s="3">
        <v>1850.0</v>
      </c>
      <c r="F163" s="3">
        <v>2700.0</v>
      </c>
      <c r="G163" s="3">
        <v>2190.0</v>
      </c>
      <c r="H163" s="4">
        <f t="shared" si="1"/>
        <v>340</v>
      </c>
      <c r="L163" s="3" t="s">
        <v>610</v>
      </c>
      <c r="T163" s="5">
        <v>46197.0</v>
      </c>
      <c r="U163" s="4" t="str">
        <f t="shared" si="2"/>
        <v>Out of Stock</v>
      </c>
    </row>
    <row r="164" ht="15.75" customHeight="1">
      <c r="A164" s="3" t="s">
        <v>611</v>
      </c>
      <c r="B164" s="3" t="s">
        <v>612</v>
      </c>
      <c r="C164" s="3" t="s">
        <v>594</v>
      </c>
      <c r="E164" s="3">
        <v>4000.0</v>
      </c>
      <c r="F164" s="3">
        <v>4600.0</v>
      </c>
      <c r="H164" s="4">
        <f t="shared" si="1"/>
        <v>-4000</v>
      </c>
      <c r="L164" s="3" t="s">
        <v>613</v>
      </c>
      <c r="T164" s="5">
        <v>46197.0</v>
      </c>
      <c r="U164" s="4" t="str">
        <f t="shared" si="2"/>
        <v>Out of Stock</v>
      </c>
    </row>
    <row r="165" ht="15.75" customHeight="1">
      <c r="A165" s="3" t="s">
        <v>614</v>
      </c>
      <c r="B165" s="3" t="s">
        <v>615</v>
      </c>
      <c r="C165" s="3" t="s">
        <v>594</v>
      </c>
      <c r="E165" s="3">
        <v>2100.0</v>
      </c>
      <c r="F165" s="3">
        <v>2600.0</v>
      </c>
      <c r="H165" s="4">
        <f t="shared" si="1"/>
        <v>-2100</v>
      </c>
      <c r="L165" s="3" t="s">
        <v>616</v>
      </c>
      <c r="T165" s="5">
        <v>46197.0</v>
      </c>
      <c r="U165" s="4" t="str">
        <f t="shared" si="2"/>
        <v>Out of Stock</v>
      </c>
    </row>
    <row r="166" ht="15.75" customHeight="1">
      <c r="A166" s="3" t="s">
        <v>617</v>
      </c>
      <c r="B166" s="3" t="s">
        <v>618</v>
      </c>
      <c r="C166" s="3" t="s">
        <v>594</v>
      </c>
      <c r="E166" s="3">
        <v>2150.0</v>
      </c>
      <c r="F166" s="3">
        <v>2660.0</v>
      </c>
      <c r="H166" s="4">
        <f t="shared" si="1"/>
        <v>-2150</v>
      </c>
      <c r="L166" s="3" t="s">
        <v>619</v>
      </c>
      <c r="M166" s="3" t="s">
        <v>620</v>
      </c>
      <c r="N166" s="3" t="s">
        <v>621</v>
      </c>
      <c r="T166" s="5">
        <v>46197.0</v>
      </c>
      <c r="U166" s="4" t="str">
        <f t="shared" si="2"/>
        <v>Out of Stock</v>
      </c>
    </row>
    <row r="167" ht="15.75" customHeight="1">
      <c r="A167" s="3" t="s">
        <v>622</v>
      </c>
      <c r="B167" s="3" t="s">
        <v>623</v>
      </c>
      <c r="C167" s="3" t="s">
        <v>594</v>
      </c>
      <c r="E167" s="3">
        <v>2050.0</v>
      </c>
      <c r="F167" s="3">
        <v>2130.0</v>
      </c>
      <c r="H167" s="4">
        <f t="shared" si="1"/>
        <v>-2050</v>
      </c>
      <c r="L167" s="3" t="s">
        <v>624</v>
      </c>
      <c r="T167" s="5">
        <v>46197.0</v>
      </c>
      <c r="U167" s="4" t="str">
        <f t="shared" si="2"/>
        <v>Out of Stock</v>
      </c>
    </row>
    <row r="168" ht="15.75" customHeight="1">
      <c r="A168" s="3" t="s">
        <v>625</v>
      </c>
      <c r="B168" s="3" t="s">
        <v>626</v>
      </c>
      <c r="C168" s="3" t="s">
        <v>594</v>
      </c>
      <c r="E168" s="3">
        <v>1900.0</v>
      </c>
      <c r="F168" s="3">
        <v>2650.0</v>
      </c>
      <c r="H168" s="4">
        <f t="shared" si="1"/>
        <v>-1900</v>
      </c>
      <c r="L168" s="3" t="s">
        <v>627</v>
      </c>
      <c r="M168" s="3" t="s">
        <v>628</v>
      </c>
      <c r="N168" s="3" t="s">
        <v>629</v>
      </c>
      <c r="T168" s="5">
        <v>46197.0</v>
      </c>
      <c r="U168" s="4" t="str">
        <f t="shared" si="2"/>
        <v>Out of Stock</v>
      </c>
    </row>
    <row r="169" ht="15.75" customHeight="1">
      <c r="A169" s="3" t="s">
        <v>630</v>
      </c>
      <c r="B169" s="3" t="s">
        <v>631</v>
      </c>
      <c r="C169" s="3" t="s">
        <v>594</v>
      </c>
      <c r="E169" s="3">
        <v>2800.0</v>
      </c>
      <c r="F169" s="3">
        <v>3600.0</v>
      </c>
      <c r="H169" s="4">
        <f t="shared" si="1"/>
        <v>-2800</v>
      </c>
      <c r="L169" s="3" t="s">
        <v>632</v>
      </c>
      <c r="T169" s="5">
        <v>46197.0</v>
      </c>
      <c r="U169" s="4" t="str">
        <f t="shared" si="2"/>
        <v>Out of Stock</v>
      </c>
    </row>
    <row r="170" ht="15.75" customHeight="1">
      <c r="A170" s="3" t="s">
        <v>633</v>
      </c>
      <c r="B170" s="3" t="s">
        <v>634</v>
      </c>
      <c r="C170" s="3" t="s">
        <v>151</v>
      </c>
      <c r="E170" s="3">
        <v>2450.0</v>
      </c>
      <c r="F170" s="3">
        <v>3850.0</v>
      </c>
      <c r="G170" s="3">
        <v>2990.0</v>
      </c>
      <c r="H170" s="4">
        <f t="shared" si="1"/>
        <v>540</v>
      </c>
      <c r="L170" s="3" t="s">
        <v>635</v>
      </c>
      <c r="T170" s="5">
        <v>46197.0</v>
      </c>
      <c r="U170" s="4" t="str">
        <f t="shared" si="2"/>
        <v>Out of Stock</v>
      </c>
    </row>
    <row r="171" ht="15.75" customHeight="1">
      <c r="A171" s="3" t="s">
        <v>636</v>
      </c>
      <c r="B171" s="3" t="s">
        <v>637</v>
      </c>
      <c r="C171" s="3" t="s">
        <v>151</v>
      </c>
      <c r="E171" s="3">
        <v>1800.0</v>
      </c>
      <c r="F171" s="3">
        <v>3500.0</v>
      </c>
      <c r="G171" s="3">
        <v>2850.0</v>
      </c>
      <c r="H171" s="4">
        <f t="shared" si="1"/>
        <v>1050</v>
      </c>
      <c r="L171" s="3" t="s">
        <v>638</v>
      </c>
      <c r="T171" s="5">
        <v>46197.0</v>
      </c>
      <c r="U171" s="4" t="str">
        <f t="shared" si="2"/>
        <v>Out of Stock</v>
      </c>
    </row>
    <row r="172" ht="15.75" customHeight="1">
      <c r="A172" s="3" t="s">
        <v>639</v>
      </c>
      <c r="B172" s="3" t="s">
        <v>640</v>
      </c>
      <c r="C172" s="3" t="s">
        <v>151</v>
      </c>
      <c r="E172" s="3">
        <v>2050.0</v>
      </c>
      <c r="F172" s="3">
        <v>3500.0</v>
      </c>
      <c r="G172" s="3">
        <v>2990.0</v>
      </c>
      <c r="H172" s="4">
        <f t="shared" si="1"/>
        <v>940</v>
      </c>
      <c r="L172" s="3" t="s">
        <v>641</v>
      </c>
      <c r="M172" s="3" t="s">
        <v>642</v>
      </c>
      <c r="N172" s="3" t="s">
        <v>643</v>
      </c>
      <c r="O172" s="3" t="s">
        <v>644</v>
      </c>
      <c r="T172" s="5">
        <v>46197.0</v>
      </c>
      <c r="U172" s="4" t="str">
        <f t="shared" si="2"/>
        <v>Out of Stock</v>
      </c>
    </row>
    <row r="173" ht="15.75" customHeight="1">
      <c r="A173" s="3" t="s">
        <v>645</v>
      </c>
      <c r="B173" s="3" t="s">
        <v>646</v>
      </c>
      <c r="C173" s="3" t="s">
        <v>151</v>
      </c>
      <c r="E173" s="3">
        <v>2200.0</v>
      </c>
      <c r="F173" s="3">
        <v>3750.0</v>
      </c>
      <c r="G173" s="3">
        <v>3190.0</v>
      </c>
      <c r="H173" s="4">
        <f t="shared" si="1"/>
        <v>990</v>
      </c>
      <c r="L173" s="3" t="s">
        <v>647</v>
      </c>
      <c r="M173" s="3" t="s">
        <v>648</v>
      </c>
      <c r="N173" s="3" t="s">
        <v>649</v>
      </c>
      <c r="O173" s="3" t="s">
        <v>650</v>
      </c>
      <c r="T173" s="5">
        <v>46197.0</v>
      </c>
      <c r="U173" s="4" t="str">
        <f t="shared" si="2"/>
        <v>Out of Stock</v>
      </c>
    </row>
    <row r="174" ht="15.75" customHeight="1">
      <c r="A174" s="3" t="s">
        <v>651</v>
      </c>
      <c r="B174" s="3" t="s">
        <v>652</v>
      </c>
      <c r="C174" s="3" t="s">
        <v>594</v>
      </c>
      <c r="E174" s="3">
        <v>3400.0</v>
      </c>
      <c r="F174" s="3">
        <v>3900.0</v>
      </c>
      <c r="H174" s="4">
        <f t="shared" si="1"/>
        <v>-3400</v>
      </c>
      <c r="L174" s="3" t="s">
        <v>653</v>
      </c>
      <c r="T174" s="5">
        <v>46197.0</v>
      </c>
      <c r="U174" s="4" t="str">
        <f t="shared" si="2"/>
        <v>Out of Stock</v>
      </c>
    </row>
    <row r="175" ht="15.75" customHeight="1">
      <c r="A175" s="3" t="s">
        <v>654</v>
      </c>
      <c r="B175" s="3" t="s">
        <v>655</v>
      </c>
      <c r="C175" s="3" t="s">
        <v>594</v>
      </c>
      <c r="E175" s="3">
        <v>2350.0</v>
      </c>
      <c r="F175" s="3">
        <v>2860.0</v>
      </c>
      <c r="H175" s="4">
        <f t="shared" si="1"/>
        <v>-2350</v>
      </c>
      <c r="L175" s="3" t="s">
        <v>656</v>
      </c>
      <c r="M175" s="3" t="s">
        <v>657</v>
      </c>
      <c r="N175" s="3" t="s">
        <v>658</v>
      </c>
      <c r="O175" s="3" t="s">
        <v>659</v>
      </c>
      <c r="T175" s="5">
        <v>46197.0</v>
      </c>
      <c r="U175" s="4" t="str">
        <f t="shared" si="2"/>
        <v>Out of Stock</v>
      </c>
    </row>
    <row r="176" ht="15.75" customHeight="1">
      <c r="A176" s="3" t="s">
        <v>660</v>
      </c>
      <c r="B176" s="3" t="s">
        <v>661</v>
      </c>
      <c r="C176" s="3" t="s">
        <v>151</v>
      </c>
      <c r="E176" s="3">
        <v>1300.0</v>
      </c>
      <c r="F176" s="3">
        <v>1790.0</v>
      </c>
      <c r="H176" s="4">
        <f t="shared" si="1"/>
        <v>-1300</v>
      </c>
      <c r="L176" s="3" t="s">
        <v>662</v>
      </c>
      <c r="T176" s="5">
        <v>46197.0</v>
      </c>
      <c r="U176" s="4" t="str">
        <f t="shared" si="2"/>
        <v>Out of Stock</v>
      </c>
    </row>
    <row r="177" ht="15.75" customHeight="1">
      <c r="A177" s="3" t="s">
        <v>663</v>
      </c>
      <c r="B177" s="3" t="s">
        <v>664</v>
      </c>
      <c r="C177" s="3" t="s">
        <v>665</v>
      </c>
      <c r="E177" s="3">
        <v>3950.0</v>
      </c>
      <c r="F177" s="3">
        <v>4600.0</v>
      </c>
      <c r="H177" s="4">
        <f t="shared" si="1"/>
        <v>-3950</v>
      </c>
      <c r="L177" s="3" t="s">
        <v>666</v>
      </c>
      <c r="M177" s="3" t="s">
        <v>667</v>
      </c>
      <c r="T177" s="5">
        <v>46197.0</v>
      </c>
      <c r="U177" s="4" t="str">
        <f t="shared" si="2"/>
        <v>Out of Stock</v>
      </c>
    </row>
    <row r="178" ht="15.75" customHeight="1">
      <c r="A178" s="3" t="s">
        <v>668</v>
      </c>
      <c r="B178" s="3" t="s">
        <v>669</v>
      </c>
      <c r="C178" s="3" t="s">
        <v>594</v>
      </c>
      <c r="E178" s="3">
        <v>2000.0</v>
      </c>
      <c r="F178" s="3">
        <v>2550.0</v>
      </c>
      <c r="H178" s="4">
        <f t="shared" si="1"/>
        <v>-2000</v>
      </c>
      <c r="L178" s="3" t="s">
        <v>670</v>
      </c>
      <c r="T178" s="5">
        <v>46197.0</v>
      </c>
      <c r="U178" s="4" t="str">
        <f t="shared" si="2"/>
        <v>Out of Stock</v>
      </c>
    </row>
    <row r="179" ht="15.75" customHeight="1">
      <c r="A179" s="3" t="s">
        <v>671</v>
      </c>
      <c r="B179" s="3" t="s">
        <v>672</v>
      </c>
      <c r="C179" s="3" t="s">
        <v>594</v>
      </c>
      <c r="E179" s="3">
        <v>1050.0</v>
      </c>
      <c r="F179" s="3">
        <v>1600.0</v>
      </c>
      <c r="H179" s="4">
        <f t="shared" si="1"/>
        <v>-1050</v>
      </c>
      <c r="L179" s="3" t="s">
        <v>673</v>
      </c>
      <c r="T179" s="5">
        <v>46197.0</v>
      </c>
      <c r="U179" s="4" t="str">
        <f t="shared" si="2"/>
        <v>Out of Stock</v>
      </c>
    </row>
    <row r="180" ht="15.75" customHeight="1">
      <c r="A180" s="3" t="s">
        <v>674</v>
      </c>
      <c r="B180" s="3" t="s">
        <v>675</v>
      </c>
      <c r="C180" s="3" t="s">
        <v>151</v>
      </c>
      <c r="E180" s="3">
        <v>2250.0</v>
      </c>
      <c r="F180" s="3">
        <v>3850.0</v>
      </c>
      <c r="G180" s="3">
        <v>3450.0</v>
      </c>
      <c r="H180" s="4">
        <f t="shared" si="1"/>
        <v>1200</v>
      </c>
      <c r="L180" s="3" t="s">
        <v>676</v>
      </c>
      <c r="T180" s="5">
        <v>46197.0</v>
      </c>
      <c r="U180" s="4" t="str">
        <f t="shared" si="2"/>
        <v>Out of Stock</v>
      </c>
    </row>
    <row r="181" ht="15.75" customHeight="1">
      <c r="A181" s="3" t="s">
        <v>677</v>
      </c>
      <c r="B181" s="3" t="s">
        <v>678</v>
      </c>
      <c r="C181" s="3" t="s">
        <v>73</v>
      </c>
      <c r="E181" s="3">
        <v>1850.0</v>
      </c>
      <c r="F181" s="3">
        <v>2650.0</v>
      </c>
      <c r="H181" s="4">
        <f t="shared" si="1"/>
        <v>-1850</v>
      </c>
      <c r="L181" s="3" t="s">
        <v>679</v>
      </c>
      <c r="M181" s="3" t="s">
        <v>680</v>
      </c>
      <c r="N181" s="3" t="s">
        <v>681</v>
      </c>
      <c r="T181" s="5">
        <v>46197.0</v>
      </c>
      <c r="U181" s="4" t="str">
        <f t="shared" si="2"/>
        <v>Out of Stock</v>
      </c>
    </row>
    <row r="182" ht="15.75" customHeight="1">
      <c r="A182" s="3" t="s">
        <v>682</v>
      </c>
      <c r="B182" s="3" t="s">
        <v>683</v>
      </c>
      <c r="C182" s="3" t="s">
        <v>23</v>
      </c>
      <c r="E182" s="3">
        <v>875.0</v>
      </c>
      <c r="F182" s="3">
        <v>1690.0</v>
      </c>
      <c r="G182" s="3">
        <v>1290.0</v>
      </c>
      <c r="H182" s="4">
        <f t="shared" si="1"/>
        <v>415</v>
      </c>
      <c r="L182" s="3" t="s">
        <v>684</v>
      </c>
      <c r="M182" s="3" t="s">
        <v>685</v>
      </c>
      <c r="N182" s="3" t="s">
        <v>686</v>
      </c>
      <c r="T182" s="5">
        <v>46197.0</v>
      </c>
      <c r="U182" s="4" t="str">
        <f t="shared" si="2"/>
        <v>Out of Stock</v>
      </c>
    </row>
    <row r="183" ht="15.75" customHeight="1">
      <c r="A183" s="3" t="s">
        <v>687</v>
      </c>
      <c r="B183" s="3" t="s">
        <v>688</v>
      </c>
      <c r="C183" s="3" t="s">
        <v>23</v>
      </c>
      <c r="E183" s="3">
        <v>460.0</v>
      </c>
      <c r="F183" s="3">
        <v>1000.0</v>
      </c>
      <c r="G183" s="3">
        <v>760.0</v>
      </c>
      <c r="H183" s="4">
        <f t="shared" si="1"/>
        <v>300</v>
      </c>
      <c r="L183" s="3" t="s">
        <v>689</v>
      </c>
      <c r="M183" s="3" t="s">
        <v>690</v>
      </c>
      <c r="N183" s="3" t="s">
        <v>691</v>
      </c>
      <c r="T183" s="5">
        <v>46197.0</v>
      </c>
      <c r="U183" s="4" t="str">
        <f t="shared" si="2"/>
        <v>Out of Stock</v>
      </c>
    </row>
    <row r="184" ht="15.75" customHeight="1">
      <c r="A184" s="3" t="s">
        <v>692</v>
      </c>
      <c r="B184" s="3" t="s">
        <v>693</v>
      </c>
      <c r="C184" s="3" t="s">
        <v>151</v>
      </c>
      <c r="E184" s="3">
        <v>2200.0</v>
      </c>
      <c r="F184" s="3">
        <v>2690.0</v>
      </c>
      <c r="G184" s="3">
        <v>2490.0</v>
      </c>
      <c r="H184" s="4">
        <f t="shared" si="1"/>
        <v>290</v>
      </c>
      <c r="L184" s="3" t="s">
        <v>694</v>
      </c>
      <c r="M184" s="3" t="s">
        <v>695</v>
      </c>
      <c r="N184" s="3" t="s">
        <v>696</v>
      </c>
      <c r="O184" s="3" t="s">
        <v>697</v>
      </c>
      <c r="Q184" s="3" t="s">
        <v>698</v>
      </c>
      <c r="T184" s="5">
        <v>46197.0</v>
      </c>
      <c r="U184" s="4" t="str">
        <f t="shared" si="2"/>
        <v>Out of Stock</v>
      </c>
    </row>
    <row r="185" ht="15.75" customHeight="1">
      <c r="A185" s="3" t="s">
        <v>699</v>
      </c>
      <c r="B185" s="3" t="s">
        <v>700</v>
      </c>
      <c r="C185" s="3" t="s">
        <v>23</v>
      </c>
      <c r="E185" s="3">
        <v>975.0</v>
      </c>
      <c r="F185" s="3">
        <v>1750.0</v>
      </c>
      <c r="G185" s="3">
        <v>1250.0</v>
      </c>
      <c r="H185" s="4">
        <f t="shared" si="1"/>
        <v>275</v>
      </c>
      <c r="L185" s="3" t="s">
        <v>701</v>
      </c>
      <c r="M185" s="3" t="s">
        <v>702</v>
      </c>
      <c r="N185" s="3" t="s">
        <v>703</v>
      </c>
      <c r="T185" s="5">
        <v>46197.0</v>
      </c>
      <c r="U185" s="4" t="str">
        <f t="shared" si="2"/>
        <v>Out of Stock</v>
      </c>
    </row>
    <row r="186" ht="15.75" customHeight="1">
      <c r="A186" s="3" t="s">
        <v>704</v>
      </c>
      <c r="B186" s="3" t="s">
        <v>705</v>
      </c>
      <c r="C186" s="3" t="s">
        <v>151</v>
      </c>
      <c r="E186" s="3">
        <v>1000.0</v>
      </c>
      <c r="F186" s="3">
        <v>1550.0</v>
      </c>
      <c r="G186" s="3">
        <v>1450.0</v>
      </c>
      <c r="H186" s="4">
        <f t="shared" si="1"/>
        <v>450</v>
      </c>
      <c r="L186" s="3" t="s">
        <v>706</v>
      </c>
      <c r="M186" s="3" t="s">
        <v>707</v>
      </c>
      <c r="N186" s="3" t="s">
        <v>708</v>
      </c>
      <c r="T186" s="5">
        <v>46197.0</v>
      </c>
      <c r="U186" s="4" t="str">
        <f t="shared" si="2"/>
        <v>Out of Stock</v>
      </c>
    </row>
    <row r="187" ht="15.75" customHeight="1">
      <c r="A187" s="3" t="s">
        <v>709</v>
      </c>
      <c r="B187" s="3" t="s">
        <v>710</v>
      </c>
      <c r="C187" s="3" t="s">
        <v>151</v>
      </c>
      <c r="E187" s="3">
        <v>1850.0</v>
      </c>
      <c r="F187" s="3">
        <v>2500.0</v>
      </c>
      <c r="G187" s="3">
        <v>2500.0</v>
      </c>
      <c r="H187" s="4">
        <f t="shared" si="1"/>
        <v>650</v>
      </c>
      <c r="L187" s="3" t="s">
        <v>711</v>
      </c>
      <c r="T187" s="5">
        <v>46197.0</v>
      </c>
      <c r="U187" s="4" t="str">
        <f t="shared" si="2"/>
        <v>Out of Stock</v>
      </c>
    </row>
    <row r="188" ht="15.75" customHeight="1">
      <c r="A188" s="3" t="s">
        <v>712</v>
      </c>
      <c r="B188" s="3" t="s">
        <v>713</v>
      </c>
      <c r="C188" s="3" t="s">
        <v>151</v>
      </c>
      <c r="E188" s="3">
        <v>2700.0</v>
      </c>
      <c r="F188" s="3">
        <v>3900.0</v>
      </c>
      <c r="G188" s="3">
        <v>3490.0</v>
      </c>
      <c r="H188" s="4">
        <f t="shared" si="1"/>
        <v>790</v>
      </c>
      <c r="L188" s="3" t="s">
        <v>714</v>
      </c>
      <c r="T188" s="5">
        <v>46197.0</v>
      </c>
      <c r="U188" s="4" t="str">
        <f t="shared" si="2"/>
        <v>Out of Stock</v>
      </c>
    </row>
    <row r="189" ht="15.75" customHeight="1">
      <c r="A189" s="3" t="s">
        <v>715</v>
      </c>
      <c r="B189" s="3" t="s">
        <v>716</v>
      </c>
      <c r="C189" s="3" t="s">
        <v>594</v>
      </c>
      <c r="E189" s="3">
        <v>3300.0</v>
      </c>
      <c r="F189" s="3">
        <v>3800.0</v>
      </c>
      <c r="H189" s="4">
        <f t="shared" si="1"/>
        <v>-3300</v>
      </c>
      <c r="L189" s="3" t="s">
        <v>717</v>
      </c>
      <c r="T189" s="5">
        <v>46197.0</v>
      </c>
      <c r="U189" s="4" t="str">
        <f t="shared" si="2"/>
        <v>Out of Stock</v>
      </c>
    </row>
    <row r="190" ht="15.75" customHeight="1">
      <c r="A190" s="3" t="s">
        <v>718</v>
      </c>
      <c r="B190" s="3" t="s">
        <v>719</v>
      </c>
      <c r="C190" s="3" t="s">
        <v>594</v>
      </c>
      <c r="E190" s="3">
        <v>3000.0</v>
      </c>
      <c r="F190" s="3">
        <v>3600.0</v>
      </c>
      <c r="H190" s="4">
        <f t="shared" si="1"/>
        <v>-3000</v>
      </c>
      <c r="L190" s="3" t="s">
        <v>720</v>
      </c>
      <c r="T190" s="5">
        <v>46197.0</v>
      </c>
      <c r="U190" s="4" t="str">
        <f t="shared" si="2"/>
        <v>Out of Stock</v>
      </c>
    </row>
    <row r="191" ht="15.75" customHeight="1">
      <c r="A191" s="3" t="s">
        <v>721</v>
      </c>
      <c r="B191" s="3" t="s">
        <v>722</v>
      </c>
      <c r="C191" s="3" t="s">
        <v>594</v>
      </c>
      <c r="E191" s="3">
        <v>4300.0</v>
      </c>
      <c r="F191" s="3">
        <v>6500.0</v>
      </c>
      <c r="G191" s="3">
        <v>4900.0</v>
      </c>
      <c r="H191" s="4">
        <f t="shared" si="1"/>
        <v>600</v>
      </c>
      <c r="L191" s="3" t="s">
        <v>723</v>
      </c>
      <c r="M191" s="3" t="s">
        <v>724</v>
      </c>
      <c r="N191" s="3" t="s">
        <v>725</v>
      </c>
      <c r="T191" s="5">
        <v>46197.0</v>
      </c>
      <c r="U191" s="4" t="str">
        <f t="shared" si="2"/>
        <v>Out of Stock</v>
      </c>
    </row>
    <row r="192" ht="15.75" customHeight="1">
      <c r="A192" s="3" t="s">
        <v>726</v>
      </c>
      <c r="B192" s="3" t="s">
        <v>727</v>
      </c>
      <c r="C192" s="3" t="s">
        <v>594</v>
      </c>
      <c r="E192" s="3">
        <v>2650.0</v>
      </c>
      <c r="F192" s="3">
        <v>3380.0</v>
      </c>
      <c r="H192" s="4">
        <f t="shared" si="1"/>
        <v>-2650</v>
      </c>
      <c r="L192" s="3" t="s">
        <v>728</v>
      </c>
      <c r="T192" s="5">
        <v>46197.0</v>
      </c>
      <c r="U192" s="4" t="str">
        <f t="shared" si="2"/>
        <v>Out of Stock</v>
      </c>
    </row>
    <row r="193" ht="15.75" customHeight="1">
      <c r="A193" s="3" t="s">
        <v>729</v>
      </c>
      <c r="B193" s="3" t="s">
        <v>730</v>
      </c>
      <c r="C193" s="3" t="s">
        <v>594</v>
      </c>
      <c r="E193" s="3">
        <v>2200.0</v>
      </c>
      <c r="F193" s="3">
        <v>2700.0</v>
      </c>
      <c r="H193" s="4">
        <f t="shared" si="1"/>
        <v>-2200</v>
      </c>
      <c r="L193" s="3" t="s">
        <v>731</v>
      </c>
      <c r="T193" s="5">
        <v>46197.0</v>
      </c>
      <c r="U193" s="4" t="str">
        <f t="shared" si="2"/>
        <v>Out of Stock</v>
      </c>
    </row>
    <row r="194" ht="15.75" customHeight="1">
      <c r="A194" s="3" t="s">
        <v>732</v>
      </c>
      <c r="B194" s="3" t="s">
        <v>733</v>
      </c>
      <c r="C194" s="3" t="s">
        <v>594</v>
      </c>
      <c r="E194" s="3">
        <v>2950.0</v>
      </c>
      <c r="F194" s="3">
        <v>3560.0</v>
      </c>
      <c r="H194" s="4">
        <f t="shared" si="1"/>
        <v>-2950</v>
      </c>
      <c r="L194" s="3" t="s">
        <v>734</v>
      </c>
      <c r="T194" s="5">
        <v>46197.0</v>
      </c>
      <c r="U194" s="4" t="str">
        <f t="shared" si="2"/>
        <v>Out of Stock</v>
      </c>
    </row>
    <row r="195" ht="15.75" customHeight="1">
      <c r="A195" s="3" t="s">
        <v>735</v>
      </c>
      <c r="B195" s="3" t="s">
        <v>736</v>
      </c>
      <c r="C195" s="3" t="s">
        <v>594</v>
      </c>
      <c r="E195" s="3">
        <v>3300.0</v>
      </c>
      <c r="F195" s="3">
        <v>3690.0</v>
      </c>
      <c r="H195" s="4">
        <f t="shared" si="1"/>
        <v>-3300</v>
      </c>
      <c r="L195" s="3" t="s">
        <v>737</v>
      </c>
      <c r="T195" s="5">
        <v>46197.0</v>
      </c>
      <c r="U195" s="4" t="str">
        <f t="shared" si="2"/>
        <v>Out of Stock</v>
      </c>
    </row>
    <row r="196" ht="15.75" customHeight="1">
      <c r="A196" s="3" t="s">
        <v>738</v>
      </c>
      <c r="B196" s="3" t="s">
        <v>739</v>
      </c>
      <c r="C196" s="3" t="s">
        <v>594</v>
      </c>
      <c r="E196" s="3">
        <v>1950.0</v>
      </c>
      <c r="F196" s="3">
        <v>2850.0</v>
      </c>
      <c r="G196" s="3">
        <v>2550.0</v>
      </c>
      <c r="H196" s="4">
        <f t="shared" si="1"/>
        <v>600</v>
      </c>
      <c r="L196" s="3" t="s">
        <v>740</v>
      </c>
      <c r="T196" s="5">
        <v>46197.0</v>
      </c>
      <c r="U196" s="4" t="str">
        <f t="shared" si="2"/>
        <v>Out of Stock</v>
      </c>
    </row>
    <row r="197" ht="15.75" customHeight="1">
      <c r="A197" s="3" t="s">
        <v>741</v>
      </c>
      <c r="B197" s="3" t="s">
        <v>742</v>
      </c>
      <c r="C197" s="3" t="s">
        <v>594</v>
      </c>
      <c r="E197" s="3">
        <v>1850.0</v>
      </c>
      <c r="F197" s="3">
        <v>2960.0</v>
      </c>
      <c r="G197" s="3">
        <v>2450.0</v>
      </c>
      <c r="H197" s="4">
        <f t="shared" si="1"/>
        <v>600</v>
      </c>
      <c r="L197" s="3" t="s">
        <v>743</v>
      </c>
      <c r="T197" s="5">
        <v>46197.0</v>
      </c>
      <c r="U197" s="4" t="str">
        <f t="shared" si="2"/>
        <v>Out of Stock</v>
      </c>
    </row>
    <row r="198" ht="15.75" customHeight="1">
      <c r="A198" s="3" t="s">
        <v>744</v>
      </c>
      <c r="B198" s="3" t="s">
        <v>745</v>
      </c>
      <c r="C198" s="3" t="s">
        <v>665</v>
      </c>
      <c r="E198" s="3">
        <v>2350.0</v>
      </c>
      <c r="F198" s="3">
        <v>2890.0</v>
      </c>
      <c r="H198" s="4">
        <f t="shared" si="1"/>
        <v>-2350</v>
      </c>
      <c r="L198" s="3" t="s">
        <v>746</v>
      </c>
      <c r="T198" s="5">
        <v>46197.0</v>
      </c>
      <c r="U198" s="4" t="str">
        <f t="shared" si="2"/>
        <v>Out of Stock</v>
      </c>
    </row>
    <row r="199" ht="15.75" customHeight="1">
      <c r="A199" s="3" t="s">
        <v>747</v>
      </c>
      <c r="B199" s="3" t="s">
        <v>748</v>
      </c>
      <c r="C199" s="3" t="s">
        <v>594</v>
      </c>
      <c r="E199" s="3">
        <v>2950.0</v>
      </c>
      <c r="F199" s="3">
        <v>3650.0</v>
      </c>
      <c r="H199" s="4">
        <f t="shared" si="1"/>
        <v>-2950</v>
      </c>
      <c r="L199" s="3" t="s">
        <v>749</v>
      </c>
      <c r="T199" s="5">
        <v>46197.0</v>
      </c>
      <c r="U199" s="4" t="str">
        <f t="shared" si="2"/>
        <v>Out of Stock</v>
      </c>
    </row>
    <row r="200" ht="15.75" customHeight="1">
      <c r="A200" s="3" t="s">
        <v>750</v>
      </c>
      <c r="B200" s="3" t="s">
        <v>751</v>
      </c>
      <c r="C200" s="3" t="s">
        <v>594</v>
      </c>
      <c r="E200" s="3">
        <v>1100.0</v>
      </c>
      <c r="F200" s="3">
        <v>1600.0</v>
      </c>
      <c r="H200" s="4">
        <f t="shared" si="1"/>
        <v>-1100</v>
      </c>
      <c r="L200" s="3" t="s">
        <v>752</v>
      </c>
      <c r="T200" s="5">
        <v>46197.0</v>
      </c>
      <c r="U200" s="4" t="str">
        <f t="shared" si="2"/>
        <v>Out of Stock</v>
      </c>
    </row>
    <row r="201" ht="15.75" customHeight="1">
      <c r="A201" s="3" t="s">
        <v>753</v>
      </c>
      <c r="B201" s="3" t="s">
        <v>754</v>
      </c>
      <c r="C201" s="3" t="s">
        <v>151</v>
      </c>
      <c r="E201" s="3">
        <v>2600.0</v>
      </c>
      <c r="F201" s="3">
        <v>3560.0</v>
      </c>
      <c r="G201" s="3">
        <v>3190.0</v>
      </c>
      <c r="H201" s="4">
        <f t="shared" si="1"/>
        <v>590</v>
      </c>
      <c r="L201" s="3" t="s">
        <v>755</v>
      </c>
      <c r="T201" s="5">
        <v>46197.0</v>
      </c>
      <c r="U201" s="4" t="str">
        <f t="shared" si="2"/>
        <v>Out of Stock</v>
      </c>
    </row>
    <row r="202" ht="15.75" customHeight="1">
      <c r="A202" s="3" t="s">
        <v>756</v>
      </c>
      <c r="B202" s="3" t="s">
        <v>757</v>
      </c>
      <c r="E202" s="3">
        <v>2850.0</v>
      </c>
      <c r="F202" s="3">
        <v>3660.0</v>
      </c>
      <c r="G202" s="3">
        <v>3290.0</v>
      </c>
      <c r="H202" s="4">
        <f t="shared" si="1"/>
        <v>440</v>
      </c>
      <c r="L202" s="3" t="s">
        <v>758</v>
      </c>
      <c r="M202" s="3" t="s">
        <v>759</v>
      </c>
      <c r="N202" s="3" t="s">
        <v>760</v>
      </c>
      <c r="O202" s="3" t="s">
        <v>761</v>
      </c>
      <c r="T202" s="5">
        <v>46201.0</v>
      </c>
      <c r="U202" s="4" t="str">
        <f t="shared" si="2"/>
        <v>Out of Stock</v>
      </c>
    </row>
    <row r="203" ht="15.75" customHeight="1">
      <c r="A203" s="3" t="s">
        <v>762</v>
      </c>
      <c r="B203" s="3" t="s">
        <v>763</v>
      </c>
      <c r="E203" s="3">
        <v>850.0</v>
      </c>
      <c r="F203" s="3">
        <v>1600.0</v>
      </c>
      <c r="G203" s="3">
        <v>1190.0</v>
      </c>
      <c r="H203" s="4">
        <f t="shared" si="1"/>
        <v>340</v>
      </c>
      <c r="L203" s="3" t="s">
        <v>764</v>
      </c>
      <c r="M203" s="3" t="s">
        <v>765</v>
      </c>
      <c r="N203" s="3" t="s">
        <v>766</v>
      </c>
      <c r="O203" s="3" t="s">
        <v>767</v>
      </c>
      <c r="T203" s="5">
        <v>46201.0</v>
      </c>
      <c r="U203" s="4" t="str">
        <f t="shared" si="2"/>
        <v>Out of Stock</v>
      </c>
    </row>
    <row r="204" ht="15.75" customHeight="1">
      <c r="A204" s="3" t="s">
        <v>768</v>
      </c>
      <c r="B204" s="3" t="s">
        <v>769</v>
      </c>
      <c r="E204" s="3">
        <v>1200.0</v>
      </c>
      <c r="F204" s="3">
        <v>1600.0</v>
      </c>
      <c r="G204" s="3">
        <v>1350.0</v>
      </c>
      <c r="H204" s="4">
        <f t="shared" si="1"/>
        <v>150</v>
      </c>
      <c r="L204" s="3" t="s">
        <v>770</v>
      </c>
      <c r="T204" s="5">
        <v>46201.0</v>
      </c>
      <c r="U204" s="4" t="str">
        <f t="shared" si="2"/>
        <v>Out of Stock</v>
      </c>
    </row>
    <row r="205" ht="15.75" customHeight="1">
      <c r="A205" s="3" t="s">
        <v>771</v>
      </c>
      <c r="B205" s="3" t="s">
        <v>772</v>
      </c>
      <c r="E205" s="3">
        <v>599.0</v>
      </c>
      <c r="F205" s="3">
        <v>1200.0</v>
      </c>
      <c r="G205" s="3">
        <v>990.0</v>
      </c>
      <c r="H205" s="4">
        <f t="shared" si="1"/>
        <v>391</v>
      </c>
      <c r="L205" s="3" t="s">
        <v>773</v>
      </c>
      <c r="M205" s="3" t="s">
        <v>774</v>
      </c>
      <c r="N205" s="3" t="s">
        <v>775</v>
      </c>
      <c r="O205" s="3" t="s">
        <v>776</v>
      </c>
      <c r="T205" s="5">
        <v>46201.0</v>
      </c>
      <c r="U205" s="4" t="str">
        <f t="shared" si="2"/>
        <v>Out of Stock</v>
      </c>
    </row>
    <row r="206" ht="15.75" customHeight="1">
      <c r="A206" s="3" t="s">
        <v>777</v>
      </c>
      <c r="B206" s="3" t="s">
        <v>778</v>
      </c>
      <c r="E206" s="3">
        <v>900.0</v>
      </c>
      <c r="F206" s="3">
        <v>1800.0</v>
      </c>
      <c r="G206" s="3">
        <v>1490.0</v>
      </c>
      <c r="H206" s="4">
        <f t="shared" si="1"/>
        <v>590</v>
      </c>
      <c r="L206" s="3" t="s">
        <v>779</v>
      </c>
      <c r="M206" s="3" t="s">
        <v>780</v>
      </c>
      <c r="N206" s="3" t="s">
        <v>781</v>
      </c>
      <c r="O206" s="3" t="s">
        <v>782</v>
      </c>
      <c r="T206" s="5">
        <v>46201.0</v>
      </c>
      <c r="U206" s="4" t="str">
        <f t="shared" si="2"/>
        <v>Out of Stock</v>
      </c>
    </row>
    <row r="207" ht="15.75" customHeight="1">
      <c r="A207" s="3" t="s">
        <v>783</v>
      </c>
      <c r="B207" s="3" t="s">
        <v>784</v>
      </c>
      <c r="E207" s="3">
        <v>1160.0</v>
      </c>
      <c r="F207" s="3">
        <v>1550.0</v>
      </c>
      <c r="G207" s="3">
        <v>1350.0</v>
      </c>
      <c r="H207" s="4">
        <f t="shared" si="1"/>
        <v>190</v>
      </c>
      <c r="L207" s="3" t="s">
        <v>785</v>
      </c>
      <c r="T207" s="5">
        <v>46201.0</v>
      </c>
      <c r="U207" s="4" t="str">
        <f t="shared" si="2"/>
        <v>Out of Stock</v>
      </c>
    </row>
    <row r="208" ht="15.75" customHeight="1">
      <c r="A208" s="3" t="s">
        <v>786</v>
      </c>
      <c r="B208" s="3" t="s">
        <v>787</v>
      </c>
      <c r="E208" s="3">
        <v>960.0</v>
      </c>
      <c r="F208" s="3">
        <v>1690.0</v>
      </c>
      <c r="G208" s="3">
        <v>1490.0</v>
      </c>
      <c r="H208" s="4">
        <f t="shared" si="1"/>
        <v>530</v>
      </c>
      <c r="T208" s="5">
        <v>46201.0</v>
      </c>
      <c r="U208" s="4" t="str">
        <f t="shared" si="2"/>
        <v>Out of Stock</v>
      </c>
    </row>
    <row r="209" ht="15.75" customHeight="1">
      <c r="A209" s="3" t="s">
        <v>788</v>
      </c>
      <c r="B209" s="3" t="s">
        <v>789</v>
      </c>
      <c r="E209" s="3">
        <v>1300.0</v>
      </c>
      <c r="F209" s="3">
        <v>1850.0</v>
      </c>
      <c r="G209" s="3">
        <v>1650.0</v>
      </c>
      <c r="H209" s="4">
        <f t="shared" si="1"/>
        <v>350</v>
      </c>
      <c r="T209" s="5">
        <v>46201.0</v>
      </c>
      <c r="U209" s="4" t="str">
        <f t="shared" si="2"/>
        <v>Out of Stock</v>
      </c>
    </row>
    <row r="210" ht="15.75" customHeight="1">
      <c r="A210" s="3" t="s">
        <v>790</v>
      </c>
      <c r="B210" s="3" t="s">
        <v>791</v>
      </c>
      <c r="E210" s="3">
        <v>550.0</v>
      </c>
      <c r="F210" s="3">
        <v>1320.0</v>
      </c>
      <c r="G210" s="3">
        <v>1150.0</v>
      </c>
      <c r="H210" s="4">
        <f t="shared" si="1"/>
        <v>600</v>
      </c>
      <c r="L210" s="3" t="s">
        <v>792</v>
      </c>
      <c r="T210" s="5">
        <v>46201.0</v>
      </c>
      <c r="U210" s="4" t="str">
        <f t="shared" si="2"/>
        <v>Out of Stock</v>
      </c>
    </row>
    <row r="211" ht="15.75" customHeight="1">
      <c r="A211" s="3" t="s">
        <v>793</v>
      </c>
      <c r="B211" s="3" t="s">
        <v>794</v>
      </c>
      <c r="E211" s="3">
        <v>1600.0</v>
      </c>
      <c r="F211" s="3">
        <v>2400.0</v>
      </c>
      <c r="G211" s="3">
        <v>2190.0</v>
      </c>
      <c r="H211" s="4">
        <f t="shared" si="1"/>
        <v>590</v>
      </c>
      <c r="L211" s="3" t="s">
        <v>795</v>
      </c>
      <c r="T211" s="5">
        <v>46201.0</v>
      </c>
      <c r="U211" s="4" t="str">
        <f t="shared" si="2"/>
        <v>Out of Stock</v>
      </c>
    </row>
    <row r="212" ht="15.75" customHeight="1">
      <c r="A212" s="3" t="s">
        <v>796</v>
      </c>
      <c r="B212" s="3" t="s">
        <v>797</v>
      </c>
      <c r="E212" s="3">
        <v>590.0</v>
      </c>
      <c r="F212" s="3">
        <v>1350.0</v>
      </c>
      <c r="G212" s="3">
        <v>1150.0</v>
      </c>
      <c r="H212" s="4">
        <f t="shared" si="1"/>
        <v>560</v>
      </c>
      <c r="L212" s="3" t="s">
        <v>798</v>
      </c>
      <c r="T212" s="5">
        <v>46201.0</v>
      </c>
      <c r="U212" s="4" t="str">
        <f t="shared" si="2"/>
        <v>Out of Stock</v>
      </c>
    </row>
    <row r="213" ht="15.75" customHeight="1">
      <c r="A213" s="3" t="s">
        <v>799</v>
      </c>
      <c r="B213" s="3" t="s">
        <v>800</v>
      </c>
      <c r="E213" s="3">
        <v>2900.0</v>
      </c>
      <c r="F213" s="3">
        <v>4500.0</v>
      </c>
      <c r="G213" s="3">
        <v>3990.0</v>
      </c>
      <c r="H213" s="4">
        <f t="shared" si="1"/>
        <v>1090</v>
      </c>
      <c r="L213" s="3" t="s">
        <v>801</v>
      </c>
      <c r="T213" s="5">
        <v>46204.0</v>
      </c>
      <c r="U213" s="4" t="str">
        <f t="shared" si="2"/>
        <v>Out of Stock</v>
      </c>
    </row>
    <row r="214" ht="15.75" customHeight="1">
      <c r="A214" s="3" t="s">
        <v>802</v>
      </c>
      <c r="B214" s="3" t="s">
        <v>803</v>
      </c>
      <c r="E214" s="3">
        <v>600.0</v>
      </c>
      <c r="F214" s="3">
        <v>1200.0</v>
      </c>
      <c r="G214" s="3">
        <v>990.0</v>
      </c>
      <c r="H214" s="4">
        <f t="shared" si="1"/>
        <v>390</v>
      </c>
      <c r="L214" s="3" t="s">
        <v>804</v>
      </c>
      <c r="T214" s="5">
        <v>46204.0</v>
      </c>
      <c r="U214" s="4" t="str">
        <f t="shared" si="2"/>
        <v>Out of Stock</v>
      </c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0</v>
      </c>
      <c r="G1" s="1" t="s">
        <v>1</v>
      </c>
      <c r="H1" s="1" t="s">
        <v>810</v>
      </c>
      <c r="I1" s="1" t="s">
        <v>811</v>
      </c>
      <c r="J1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812</v>
      </c>
      <c r="B1" s="1" t="s">
        <v>808</v>
      </c>
      <c r="C1" s="1" t="s">
        <v>813</v>
      </c>
      <c r="D1" s="1" t="s">
        <v>814</v>
      </c>
      <c r="E1" s="1" t="s">
        <v>815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816</v>
      </c>
      <c r="B1" s="4" t="s">
        <v>1</v>
      </c>
      <c r="C1" s="4" t="s">
        <v>6</v>
      </c>
      <c r="D1" s="4" t="s">
        <v>817</v>
      </c>
      <c r="E1" s="4" t="s">
        <v>20</v>
      </c>
      <c r="F1" s="4" t="s">
        <v>2</v>
      </c>
    </row>
    <row r="2">
      <c r="B2" s="4" t="str">
        <f>IFERROR(VLOOKUP(A2,Products!A:U,2,FALSE),"Not Found")</f>
        <v>Not Found</v>
      </c>
      <c r="C2" s="4" t="str">
        <f>IFERROR(VLOOKUP(A2,Products!A:U,7,FALSE),"")</f>
        <v/>
      </c>
      <c r="D2" s="4" t="str">
        <f>IFERROR(VLOOKUP(A2,Products!A:U,9,FALSE),"")</f>
        <v/>
      </c>
      <c r="E2" s="4" t="str">
        <f>IFERROR(VLOOKUP(A2,Products!A:U,19,FALSE),"")</f>
        <v/>
      </c>
      <c r="F2" s="4" t="str">
        <f>IFERROR(VLOOKUP(A2,Products!A:U,3,FALSE),"")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818</v>
      </c>
    </row>
    <row r="3">
      <c r="A3" s="4" t="s">
        <v>819</v>
      </c>
      <c r="B3" s="4">
        <f>COUNTA(Products!A:A)-1</f>
        <v>212</v>
      </c>
    </row>
    <row r="4">
      <c r="A4" s="4" t="s">
        <v>820</v>
      </c>
      <c r="B4" s="4">
        <f>SUM(Products!I:I)</f>
        <v>0</v>
      </c>
    </row>
    <row r="5">
      <c r="A5" s="4" t="s">
        <v>821</v>
      </c>
      <c r="B5" s="4">
        <f>SUM(Products!H:H)</f>
        <v>-124409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